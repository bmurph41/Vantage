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tt\Documents\"/>
    </mc:Choice>
  </mc:AlternateContent>
  <xr:revisionPtr revIDLastSave="0" documentId="13_ncr:1_{33613AF0-C947-407D-86B2-330BBFBE628B}" xr6:coauthVersionLast="47" xr6:coauthVersionMax="47" xr10:uidLastSave="{00000000-0000-0000-0000-000000000000}"/>
  <bookViews>
    <workbookView xWindow="-120" yWindow="-120" windowWidth="29040" windowHeight="15720" tabRatio="782" activeTab="2" xr2:uid="{B28E66E2-41A2-4F03-B530-3E4167086E2A}"/>
  </bookViews>
  <sheets>
    <sheet name="COA_Master" sheetId="1" r:id="rId1"/>
    <sheet name="Segments_Master" sheetId="2" r:id="rId2"/>
    <sheet name="Alias_Se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3" i="3" l="1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562" i="3" l="1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B51" i="1" l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Brett</author>
  </authors>
  <commentList>
    <comment ref="A324" authorId="0" shapeId="0" xr:uid="{F48CA660-BBFF-4A12-87B3-3F29355458F1}">
      <text>
        <r>
          <rPr>
            <b/>
            <sz val="9"/>
            <color indexed="81"/>
            <rFont val="Tahoma"/>
            <family val="2"/>
          </rPr>
          <t>Brett:</t>
        </r>
        <r>
          <rPr>
            <sz val="9"/>
            <color indexed="81"/>
            <rFont val="Tahoma"/>
            <family val="2"/>
          </rPr>
          <t xml:space="preserve">
Commission for individually owned slips that are part of the rental pool.</t>
        </r>
      </text>
    </comment>
    <comment ref="A470" authorId="0" shapeId="0" xr:uid="{12A69106-F690-4D2E-AE83-38C7E8A1BCC9}">
      <text>
        <r>
          <rPr>
            <b/>
            <sz val="9"/>
            <color indexed="81"/>
            <rFont val="Tahoma"/>
            <family val="2"/>
          </rPr>
          <t>Brett:</t>
        </r>
        <r>
          <rPr>
            <sz val="9"/>
            <color indexed="81"/>
            <rFont val="Tahoma"/>
            <family val="2"/>
          </rPr>
          <t xml:space="preserve">
This includes: Party room rental ($750/day); merchandise, key fobs, and non-rent tenant charges.</t>
        </r>
      </text>
    </comment>
  </commentList>
</comments>
</file>

<file path=xl/sharedStrings.xml><?xml version="1.0" encoding="utf-8"?>
<sst xmlns="http://schemas.openxmlformats.org/spreadsheetml/2006/main" count="1875" uniqueCount="657">
  <si>
    <t>Revenue</t>
  </si>
  <si>
    <t>Calculations</t>
  </si>
  <si>
    <t>Gross Revenue: calculated by summing all subcategory totals in the subcategory for the given time period.</t>
  </si>
  <si>
    <t>COGS Subcategory Total: calculated by summing all line item values in the subcategory for the given time period.</t>
  </si>
  <si>
    <t>Revenue Subcategory Total: calculated by summing all line item values in the subcategory for the given time period.</t>
  </si>
  <si>
    <t>Gross Profit by Subcategory: calculated by subtracting the COGS Subcategory Total from the Revenue Subcategory Total that matches, for that time period (e.g. Fuel Revenue Total - Fuel COGS Total = Fuel Gross Profit)</t>
  </si>
  <si>
    <t>Gross Profit Total: calculated by summing all Gross Profit by Subcategory totals.</t>
  </si>
  <si>
    <t>Expense Subcategory Total: calculated by summing all line item values in the subcategory for the given time period.</t>
  </si>
  <si>
    <t>Total Expense: calculated by summing all Expense Subcategory totals for that given time period.</t>
  </si>
  <si>
    <t>EBITDA: Gross Profit - Total Expense</t>
  </si>
  <si>
    <t>Storage</t>
  </si>
  <si>
    <t>Fuel</t>
  </si>
  <si>
    <t>Marina &amp; Amenities</t>
  </si>
  <si>
    <t>Ship Store/Retail</t>
  </si>
  <si>
    <t>Service</t>
  </si>
  <si>
    <t>Parts</t>
  </si>
  <si>
    <t>Third-Party Leases</t>
  </si>
  <si>
    <t>In-House Boat Club</t>
  </si>
  <si>
    <t>Boat Rentals</t>
  </si>
  <si>
    <t>Boat Sales</t>
  </si>
  <si>
    <t>Boat Finance</t>
  </si>
  <si>
    <t>Boat Brokerage</t>
  </si>
  <si>
    <t>F&amp;B</t>
  </si>
  <si>
    <t>RV Park</t>
  </si>
  <si>
    <t>Hospitality/Lodging</t>
  </si>
  <si>
    <t>COGS</t>
  </si>
  <si>
    <t>Operating Expense</t>
  </si>
  <si>
    <t>Payroll</t>
  </si>
  <si>
    <t>General &amp; Administrative</t>
  </si>
  <si>
    <t>Advertising</t>
  </si>
  <si>
    <t>Repairs &amp; Maintenance</t>
  </si>
  <si>
    <t>Utilities</t>
  </si>
  <si>
    <t>Licenses &amp; Permits</t>
  </si>
  <si>
    <t>Security &amp; Contract Services</t>
  </si>
  <si>
    <t>Bank/Credit Card Fees</t>
  </si>
  <si>
    <t>Professional Services</t>
  </si>
  <si>
    <t>Insurance</t>
  </si>
  <si>
    <t>Property Taxes</t>
  </si>
  <si>
    <t>Leases</t>
  </si>
  <si>
    <t>Miscellaneous</t>
  </si>
  <si>
    <t>coa_code</t>
  </si>
  <si>
    <t>display_name</t>
  </si>
  <si>
    <t>major_group</t>
  </si>
  <si>
    <t>subcategory_group</t>
  </si>
  <si>
    <t>description</t>
  </si>
  <si>
    <t>sort_order</t>
  </si>
  <si>
    <t>All revenue related to storage operations</t>
  </si>
  <si>
    <t>All revenue related to fuel sales and the fuel dock.</t>
  </si>
  <si>
    <t>Revenue related to marina-related activites, such as utility income, boat ramp, events, etc.</t>
  </si>
  <si>
    <t>All revenue related to the ship store sales that cannot be attributed to Marina &amp; Amenities or F&amp;B</t>
  </si>
  <si>
    <t>All revenue related to service-specific work.</t>
  </si>
  <si>
    <t>All revenue related to parts-specific work.</t>
  </si>
  <si>
    <t>All revenue related to lease income from third-party tenants.</t>
  </si>
  <si>
    <t>All revenue related to operating an in-house boat club. This should not include storage premiums or lease payments from third-party boat clubs.</t>
  </si>
  <si>
    <t>All revenue related to the boat rental operation.</t>
  </si>
  <si>
    <t>All revenue related to new and used boat sales, but excluding finance-specific and brokerage-related activities.</t>
  </si>
  <si>
    <t>All revenue related to boat/dealership financing.</t>
  </si>
  <si>
    <t>All revenue related to boat brokerage.</t>
  </si>
  <si>
    <t>All revenue related to in-house F&amp;B operations. F&amp;B lease income goes under Third-Party Leases</t>
  </si>
  <si>
    <t>All revenue related to the RV park.</t>
  </si>
  <si>
    <t>All revenue related to the hotel operation, cabins, Airbnbs, VRBOs, etc.</t>
  </si>
  <si>
    <t>All revenue that cannot be specified to another Revenue subcategory.</t>
  </si>
  <si>
    <t>All COGS related to the Revenue subcategory of the same name.</t>
  </si>
  <si>
    <t>All expenses related to Payroll (includes health insurance, life insurance, payroll taxes, worker's compensation, bonuses, etc.).</t>
  </si>
  <si>
    <t>segment_code</t>
  </si>
  <si>
    <t>segment_name</t>
  </si>
  <si>
    <t>segment_type</t>
  </si>
  <si>
    <t>SEG_F&amp;B</t>
  </si>
  <si>
    <t>SEG_STORAGE</t>
  </si>
  <si>
    <t>SEG_FUEL</t>
  </si>
  <si>
    <t>SEG_MARINA_&amp;_AMENITIES</t>
  </si>
  <si>
    <t>SEG_SHIPS_STORE</t>
  </si>
  <si>
    <t>SEG_SERVICE</t>
  </si>
  <si>
    <t>SEG_PARTS</t>
  </si>
  <si>
    <t>SEG_THIRD_PARTY_LEASES</t>
  </si>
  <si>
    <t>SEG_IN_HOUSE_BOAT_CLUB</t>
  </si>
  <si>
    <t>SEG_BOAT_RENTALS</t>
  </si>
  <si>
    <t>SEG_BOAT_SALES</t>
  </si>
  <si>
    <t>SEG_BOAT_FINANCE</t>
  </si>
  <si>
    <t>SEG_BOAT_BROKERAGE</t>
  </si>
  <si>
    <t>SEG_RV_PARK</t>
  </si>
  <si>
    <t>SEG_HOSPITALITY_LODGING</t>
  </si>
  <si>
    <t>SEG_MISCELLANEOUS</t>
  </si>
  <si>
    <t>CORE</t>
  </si>
  <si>
    <t>NON-OPERATING</t>
  </si>
  <si>
    <t>ANCILLARY</t>
  </si>
  <si>
    <t>raw_label</t>
  </si>
  <si>
    <t>suggested_coa_code</t>
  </si>
  <si>
    <t>suggested_segment_code</t>
  </si>
  <si>
    <t>notes</t>
  </si>
  <si>
    <t>Annual Slips</t>
  </si>
  <si>
    <t>Lift Slips</t>
  </si>
  <si>
    <t>Monthly Slip Rental</t>
  </si>
  <si>
    <t>Outdoor Racks</t>
  </si>
  <si>
    <t>Day/Month Land Storage</t>
  </si>
  <si>
    <t>Winter Land Storage</t>
  </si>
  <si>
    <t>Jet Skis</t>
  </si>
  <si>
    <t>Trailers</t>
  </si>
  <si>
    <t>Transients</t>
  </si>
  <si>
    <t>RV Pads</t>
  </si>
  <si>
    <t>Self Storage Units</t>
  </si>
  <si>
    <t>Freedom Boat Club Storage</t>
  </si>
  <si>
    <t>Gasoline</t>
  </si>
  <si>
    <t>Diesel</t>
  </si>
  <si>
    <t>Freedom Boat Club Fuel</t>
  </si>
  <si>
    <t>REV_F&amp;B</t>
  </si>
  <si>
    <t>OPEX_F&amp;B</t>
  </si>
  <si>
    <t>REV_STORAGE</t>
  </si>
  <si>
    <t>REV_FUEL</t>
  </si>
  <si>
    <t>REV_MARINA_&amp;_AMENITIES</t>
  </si>
  <si>
    <t>REV_SHIPS_STORE</t>
  </si>
  <si>
    <t>REV_SERVICE</t>
  </si>
  <si>
    <t>REV_PARTS</t>
  </si>
  <si>
    <t>REV_THIRD_PARTY_LEASES</t>
  </si>
  <si>
    <t>REV_IN_HOUSE_BOAT_CLUB</t>
  </si>
  <si>
    <t>REV_BOAT_RENTALS</t>
  </si>
  <si>
    <t>REV_BOAT_SALES</t>
  </si>
  <si>
    <t>REV_BOAT_FINANCE</t>
  </si>
  <si>
    <t>REV_BOAT_BROKERAGE</t>
  </si>
  <si>
    <t>REV_RV_PARK</t>
  </si>
  <si>
    <t>REV_HOSPITALITY_LODGING</t>
  </si>
  <si>
    <t>REV_MISCELLANEOUS</t>
  </si>
  <si>
    <t>COGS_STORAGE</t>
  </si>
  <si>
    <t>COGS_FUEL</t>
  </si>
  <si>
    <t>COGS_MARINA_&amp;_AMENITIES</t>
  </si>
  <si>
    <t>COGS_SHIPS_STORE</t>
  </si>
  <si>
    <t>COGS_SERVICE</t>
  </si>
  <si>
    <t>COGS_PARTS</t>
  </si>
  <si>
    <t>COGS_THIRD_PARTY_LEASES</t>
  </si>
  <si>
    <t>COGS_IN_HOUSE_BOAT_CLUB</t>
  </si>
  <si>
    <t>COGS_BOAT_RENTALS</t>
  </si>
  <si>
    <t>COGS_BOAT_SALES</t>
  </si>
  <si>
    <t>COGS_BOAT_FINANCE</t>
  </si>
  <si>
    <t>COGS_BOAT_BROKERAGE</t>
  </si>
  <si>
    <t>COGS_F&amp;B</t>
  </si>
  <si>
    <t>COGS_RV_PARK</t>
  </si>
  <si>
    <t>COGS_HOSPITALITY_LODGING</t>
  </si>
  <si>
    <t>COGS_MISCELLANEOUS</t>
  </si>
  <si>
    <t>OPEX_PAYROLL</t>
  </si>
  <si>
    <t>OPEX_GENERAL_&amp;_ADMINISTRATIVE</t>
  </si>
  <si>
    <t>OPEX_ADVERTISING</t>
  </si>
  <si>
    <t>OPEX_REPAIRS_&amp;_MAINTENANCE</t>
  </si>
  <si>
    <t>OPEX_UTILITIES</t>
  </si>
  <si>
    <t>OPEX_LICENSES_&amp;_PERMITS</t>
  </si>
  <si>
    <t>OPEX_SECURITY_&amp;_CONTRACT_SERVICES</t>
  </si>
  <si>
    <t>OPEX_BANK_&amp;_CREDIT_CARD_FEES</t>
  </si>
  <si>
    <t>OPEX_PROFESSIONAL_SERVICES</t>
  </si>
  <si>
    <t>OPEX_INSURANCE</t>
  </si>
  <si>
    <t>OPEX_PROPERTY_TAXES</t>
  </si>
  <si>
    <t>OPEX_LEASES</t>
  </si>
  <si>
    <t>OPEX_SERVICE</t>
  </si>
  <si>
    <t>OPEX_PARTS</t>
  </si>
  <si>
    <t>OPEX_RV_PARK</t>
  </si>
  <si>
    <t>OPEX_HOSPITALITY_LODGING</t>
  </si>
  <si>
    <t>OPEX_MISCELLANEOUS</t>
  </si>
  <si>
    <t>Slip Electric</t>
  </si>
  <si>
    <t>Liveaboard Fee</t>
  </si>
  <si>
    <t>Airbnb Rentals</t>
  </si>
  <si>
    <t>Drinks</t>
  </si>
  <si>
    <t>Snacks</t>
  </si>
  <si>
    <t>Accessories</t>
  </si>
  <si>
    <t>Apparel</t>
  </si>
  <si>
    <t>Bait &amp; Tackle</t>
  </si>
  <si>
    <t>Non-Itemized Ship Store Sales</t>
  </si>
  <si>
    <t>Paid Parking</t>
  </si>
  <si>
    <t>Bottom Painting</t>
  </si>
  <si>
    <t>Haul Out Services</t>
  </si>
  <si>
    <t>Hull Polish</t>
  </si>
  <si>
    <t>Misc</t>
  </si>
  <si>
    <t>Zincs</t>
  </si>
  <si>
    <t>Repair Work - Other</t>
  </si>
  <si>
    <t>Environmental Surcharge</t>
  </si>
  <si>
    <t>Equipment Fees</t>
  </si>
  <si>
    <t>Yard Fees - Other</t>
  </si>
  <si>
    <t>Property Tax Reimbursement</t>
  </si>
  <si>
    <t>Fuel COGS</t>
  </si>
  <si>
    <t>Ships Store COGS</t>
  </si>
  <si>
    <t xml:space="preserve">Payroll </t>
  </si>
  <si>
    <t>Total Payroll</t>
  </si>
  <si>
    <t>Health Insurance</t>
  </si>
  <si>
    <t>Worker's Comp</t>
  </si>
  <si>
    <t>Auto Expense</t>
  </si>
  <si>
    <t>Bathroom/Cleaning Supplies</t>
  </si>
  <si>
    <t>Cleaning Expense</t>
  </si>
  <si>
    <t>Internet Fees</t>
  </si>
  <si>
    <t>Membership</t>
  </si>
  <si>
    <t>Office Supplies</t>
  </si>
  <si>
    <t>Postage &amp; Shipping</t>
  </si>
  <si>
    <t>Boat Repairs - Labor</t>
  </si>
  <si>
    <t>Boat Repairs - Materials</t>
  </si>
  <si>
    <t>Boat Repairs - Other</t>
  </si>
  <si>
    <t>Equipment Repair</t>
  </si>
  <si>
    <t>R&amp;M</t>
  </si>
  <si>
    <t>Electric</t>
  </si>
  <si>
    <t>Telephone, Cable &amp; FIOS</t>
  </si>
  <si>
    <t>Water</t>
  </si>
  <si>
    <t>Utilities - Other</t>
  </si>
  <si>
    <t>Security System</t>
  </si>
  <si>
    <t>Trash Removal</t>
  </si>
  <si>
    <t>Bank Service Charges</t>
  </si>
  <si>
    <t>Accounting</t>
  </si>
  <si>
    <t>Legal</t>
  </si>
  <si>
    <t>Professional Fees - Other</t>
  </si>
  <si>
    <t>Property Insurance</t>
  </si>
  <si>
    <t>Submerged Land Lease</t>
  </si>
  <si>
    <t>Amortization</t>
  </si>
  <si>
    <t>Depreciation</t>
  </si>
  <si>
    <t>Miscellaneous Expenses</t>
  </si>
  <si>
    <t>Monthly Slips</t>
  </si>
  <si>
    <t>Transient Slips</t>
  </si>
  <si>
    <t>Dry Storage Income (Seasonal Yard)</t>
  </si>
  <si>
    <t>Winter Storage - Inside</t>
  </si>
  <si>
    <t>Winter Storage - Outside</t>
  </si>
  <si>
    <t>Combined Fuel Sales</t>
  </si>
  <si>
    <t>Slip Utilities</t>
  </si>
  <si>
    <t>Boat Show Income</t>
  </si>
  <si>
    <t>Bay Bridge Walk</t>
  </si>
  <si>
    <t>Bay Bridge Swim</t>
  </si>
  <si>
    <t>Dockbox/Step Annual Rental</t>
  </si>
  <si>
    <t>Laundry Room Income</t>
  </si>
  <si>
    <t>Pumpout Maintenance Funding</t>
  </si>
  <si>
    <t>Marina Store Income</t>
  </si>
  <si>
    <t>Daily Contractor Fees</t>
  </si>
  <si>
    <t>General Service Income</t>
  </si>
  <si>
    <t>Subcontractor Income</t>
  </si>
  <si>
    <t>Parts Sales</t>
  </si>
  <si>
    <t>Commercial Rent - Repair &amp; Service</t>
  </si>
  <si>
    <t>Commercial Tenants Late Fees</t>
  </si>
  <si>
    <t>Commercial Space Rental - Service</t>
  </si>
  <si>
    <t>Miscellaneous Income</t>
  </si>
  <si>
    <t>Earned Discounts</t>
  </si>
  <si>
    <t>Unapplied Cash Payment Income</t>
  </si>
  <si>
    <t>Shop Supplies</t>
  </si>
  <si>
    <t>Sales Discounts</t>
  </si>
  <si>
    <t>Service COGS</t>
  </si>
  <si>
    <t>Payroll Expense</t>
  </si>
  <si>
    <t>Bonus</t>
  </si>
  <si>
    <t>Payroll Taxes</t>
  </si>
  <si>
    <t>401K Match</t>
  </si>
  <si>
    <t>P/R Processing</t>
  </si>
  <si>
    <t>Workers Comp</t>
  </si>
  <si>
    <t>Boat Show Host</t>
  </si>
  <si>
    <t>Restaurant Expense (Reimbursement)</t>
  </si>
  <si>
    <t>Staff Uniforms</t>
  </si>
  <si>
    <t>Custodial Supplies</t>
  </si>
  <si>
    <t>Marina Office Expenses (Suite 102)</t>
  </si>
  <si>
    <t>Computer</t>
  </si>
  <si>
    <t>Dues &amp; Subscriptions</t>
  </si>
  <si>
    <t>Staff Training / Seminars</t>
  </si>
  <si>
    <t>Postage</t>
  </si>
  <si>
    <t>Printing</t>
  </si>
  <si>
    <t>Bad Debt Expense</t>
  </si>
  <si>
    <t>Marina Print Advertisement</t>
  </si>
  <si>
    <t>Service Print Advertisement</t>
  </si>
  <si>
    <t>Boat Show / Promo</t>
  </si>
  <si>
    <t>Equipment R&amp;M</t>
  </si>
  <si>
    <t>Dock R&amp;M</t>
  </si>
  <si>
    <t>Golf Cart R&amp;M</t>
  </si>
  <si>
    <t>Grounds Maintenance</t>
  </si>
  <si>
    <t>Commercial Building R&amp;M</t>
  </si>
  <si>
    <t>Pool R&amp;M</t>
  </si>
  <si>
    <t>Fuel Dock Equipment R&amp;M</t>
  </si>
  <si>
    <t>Service Building R&amp;M</t>
  </si>
  <si>
    <t>Dredging</t>
  </si>
  <si>
    <t>Electric (Delmarva)</t>
  </si>
  <si>
    <t>Marina Utilities - Electric</t>
  </si>
  <si>
    <t>Telephone/Internet</t>
  </si>
  <si>
    <t>Utilities on Building 3 Rental</t>
  </si>
  <si>
    <t>Utilities - Service Building</t>
  </si>
  <si>
    <t>Water &amp; Sewer</t>
  </si>
  <si>
    <t>Janitorial</t>
  </si>
  <si>
    <t>Pest Control</t>
  </si>
  <si>
    <t>CC Processing Fees</t>
  </si>
  <si>
    <t>Bank Fees</t>
  </si>
  <si>
    <t>Professional Fees</t>
  </si>
  <si>
    <t>General Liability</t>
  </si>
  <si>
    <t>Other Liability</t>
  </si>
  <si>
    <t xml:space="preserve">Auto </t>
  </si>
  <si>
    <t>Umbrella</t>
  </si>
  <si>
    <t>Real Property</t>
  </si>
  <si>
    <t>Personal Property</t>
  </si>
  <si>
    <t>Equipment Rental</t>
  </si>
  <si>
    <t>Rent - Building 3, Suite 101</t>
  </si>
  <si>
    <t>Heating</t>
  </si>
  <si>
    <t>Travel/Mileage</t>
  </si>
  <si>
    <t>Freight Charges</t>
  </si>
  <si>
    <t>Uniforms</t>
  </si>
  <si>
    <t>Warrantee Work</t>
  </si>
  <si>
    <t>Tools</t>
  </si>
  <si>
    <t>Computer / Software</t>
  </si>
  <si>
    <t>Meals</t>
  </si>
  <si>
    <t>Penalty/Late Fees</t>
  </si>
  <si>
    <t>Gifts</t>
  </si>
  <si>
    <t>Charitable Giving</t>
  </si>
  <si>
    <t>Wet Slips</t>
  </si>
  <si>
    <t>Slip Upgrade</t>
  </si>
  <si>
    <t>Other Fuel Revenue</t>
  </si>
  <si>
    <t>Boat Ramp</t>
  </si>
  <si>
    <t>Ice</t>
  </si>
  <si>
    <t>Haul Out Income</t>
  </si>
  <si>
    <t>Markup</t>
  </si>
  <si>
    <t>Other Income</t>
  </si>
  <si>
    <t>Payroll - Service</t>
  </si>
  <si>
    <t>Haul, Block &amp; Launch</t>
  </si>
  <si>
    <t>Charter</t>
  </si>
  <si>
    <t>Bad Debt</t>
  </si>
  <si>
    <t>Internet</t>
  </si>
  <si>
    <t>CRM and Website</t>
  </si>
  <si>
    <t>Computer Expense</t>
  </si>
  <si>
    <t>Office Expense</t>
  </si>
  <si>
    <t>Vehicle Expense</t>
  </si>
  <si>
    <t>Marketing</t>
  </si>
  <si>
    <t>Property Expense</t>
  </si>
  <si>
    <t>Bank and Card Charges</t>
  </si>
  <si>
    <t>Accounting Management Fee</t>
  </si>
  <si>
    <t>Taxes</t>
  </si>
  <si>
    <t>Conolift Rent</t>
  </si>
  <si>
    <t>Entertainment</t>
  </si>
  <si>
    <t>Travel Expense</t>
  </si>
  <si>
    <t>Uncovered Wet Slips</t>
  </si>
  <si>
    <t>Covered Wet Slips</t>
  </si>
  <si>
    <t>Out-of-House Boat Club Storage</t>
  </si>
  <si>
    <t>Indoor Racks</t>
  </si>
  <si>
    <t>Total Fuel Sales (Not Broken Out)</t>
  </si>
  <si>
    <t>Slipholder Fuel</t>
  </si>
  <si>
    <t>Transient Fuel</t>
  </si>
  <si>
    <t>Boat Club Fuel</t>
  </si>
  <si>
    <t>Beverage</t>
  </si>
  <si>
    <t>Liquor</t>
  </si>
  <si>
    <t>Beer</t>
  </si>
  <si>
    <t>Oil</t>
  </si>
  <si>
    <t>Marine Supplies</t>
  </si>
  <si>
    <t>Marine Services</t>
  </si>
  <si>
    <t>Sundries</t>
  </si>
  <si>
    <t>Bait</t>
  </si>
  <si>
    <t>Tackle</t>
  </si>
  <si>
    <t>Office Space</t>
  </si>
  <si>
    <t>Advertising Space</t>
  </si>
  <si>
    <t>Restaurant - Food</t>
  </si>
  <si>
    <t>Restaurant - Beverage</t>
  </si>
  <si>
    <t>Restaurant - Liquor</t>
  </si>
  <si>
    <t>Restaurant - Wine</t>
  </si>
  <si>
    <t>Restaurant - Beer</t>
  </si>
  <si>
    <t>Restaurant - Other</t>
  </si>
  <si>
    <t>Lounge - Food</t>
  </si>
  <si>
    <t>Lounge - Beverage</t>
  </si>
  <si>
    <t>Lounge - Liquor</t>
  </si>
  <si>
    <t>Lounge - Wine</t>
  </si>
  <si>
    <t>Lounge - Beer</t>
  </si>
  <si>
    <t>Lounge - Other</t>
  </si>
  <si>
    <t>Room Rental</t>
  </si>
  <si>
    <t>Other</t>
  </si>
  <si>
    <t>Marina Assessments</t>
  </si>
  <si>
    <t>Other Revenue</t>
  </si>
  <si>
    <t>Restaurant - CC Discounts</t>
  </si>
  <si>
    <t>Lounge - CC Discounts</t>
  </si>
  <si>
    <t>Merchandise</t>
  </si>
  <si>
    <t>Commissions (Expedia, etc.)</t>
  </si>
  <si>
    <t>Credit Card Discounts</t>
  </si>
  <si>
    <t>Other/Motel</t>
  </si>
  <si>
    <t>Salaries</t>
  </si>
  <si>
    <t>Health/Dental Insurance</t>
  </si>
  <si>
    <t>Payroll Tax</t>
  </si>
  <si>
    <t>Payroll Tax/Unemployment</t>
  </si>
  <si>
    <t>Employee Expense (Manager Meals + Owner)</t>
  </si>
  <si>
    <t>Salaries - Indirect (Maintenance Personnel)</t>
  </si>
  <si>
    <t>Allocation</t>
  </si>
  <si>
    <t>Automobile Expense</t>
  </si>
  <si>
    <t>Over/Short</t>
  </si>
  <si>
    <t>Linen/Laundry/Cleaning</t>
  </si>
  <si>
    <t>Supplies</t>
  </si>
  <si>
    <t>Payments Slip Owner</t>
  </si>
  <si>
    <t>Marina Assessments (Company Portion)</t>
  </si>
  <si>
    <t>Marina CC Discounts</t>
  </si>
  <si>
    <t>Bad Debts</t>
  </si>
  <si>
    <t>Donations/Contributions</t>
  </si>
  <si>
    <t>Promotions</t>
  </si>
  <si>
    <t>Professional Entertainers</t>
  </si>
  <si>
    <t>Repairs/Maintenance</t>
  </si>
  <si>
    <t>Repairs/Maintenance - Dredging (Every 3-5 Years)</t>
  </si>
  <si>
    <t>Repairs - Hurricane</t>
  </si>
  <si>
    <t>Total Utilities</t>
  </si>
  <si>
    <t>Telephone</t>
  </si>
  <si>
    <t>Taxes/License</t>
  </si>
  <si>
    <t>Security</t>
  </si>
  <si>
    <t>Casualty</t>
  </si>
  <si>
    <t>Casualty - Docks</t>
  </si>
  <si>
    <t>Rent (for maintenance yard across street)</t>
  </si>
  <si>
    <t>Interest Expense</t>
  </si>
  <si>
    <t>Loss/Gain on Sale of Asset</t>
  </si>
  <si>
    <t>Sales Account</t>
  </si>
  <si>
    <t>Storage Income</t>
  </si>
  <si>
    <t>Dockage</t>
  </si>
  <si>
    <t>Storm Dockage Reservation</t>
  </si>
  <si>
    <t>Marine Store</t>
  </si>
  <si>
    <t>Freight</t>
  </si>
  <si>
    <t>Freight Income</t>
  </si>
  <si>
    <t>Sales Discount</t>
  </si>
  <si>
    <t>Fishing Licenses</t>
  </si>
  <si>
    <t>Railway</t>
  </si>
  <si>
    <t>Sublet Sales</t>
  </si>
  <si>
    <t>Paint Shop</t>
  </si>
  <si>
    <t>Machine Shop</t>
  </si>
  <si>
    <t>Carpenter Shop</t>
  </si>
  <si>
    <t>Initiation Fees</t>
  </si>
  <si>
    <t>Monthly Dues</t>
  </si>
  <si>
    <t>Subcontractors</t>
  </si>
  <si>
    <t>Sublet COGS</t>
  </si>
  <si>
    <t>Freight Expense</t>
  </si>
  <si>
    <t>Vendor Discounts Taken</t>
  </si>
  <si>
    <t>Core Charges</t>
  </si>
  <si>
    <t>Environmental Charge</t>
  </si>
  <si>
    <t>Register Over/Short</t>
  </si>
  <si>
    <t>Inventory Adjustments</t>
  </si>
  <si>
    <t>Direct Wages</t>
  </si>
  <si>
    <t>Indirect Wages</t>
  </si>
  <si>
    <t>Payroll Administration</t>
  </si>
  <si>
    <t>Medical Insurance</t>
  </si>
  <si>
    <t>Life Insurance</t>
  </si>
  <si>
    <t>Pension</t>
  </si>
  <si>
    <t>Medical Expenses</t>
  </si>
  <si>
    <t>Director Fees</t>
  </si>
  <si>
    <t>Life / Key Man Ins.</t>
  </si>
  <si>
    <t>Owner Compensation</t>
  </si>
  <si>
    <t>Computer Services</t>
  </si>
  <si>
    <t>Printer Press Expense</t>
  </si>
  <si>
    <t>Dues &amp; Subcriptions</t>
  </si>
  <si>
    <t>Safety Program Expense</t>
  </si>
  <si>
    <t>Safety Clean</t>
  </si>
  <si>
    <t>Employee Perks</t>
  </si>
  <si>
    <t>Traning / Conferences</t>
  </si>
  <si>
    <t>Autos &amp; Trucks</t>
  </si>
  <si>
    <t>Yard Repairs &amp; Maintenance</t>
  </si>
  <si>
    <t>Equipment and Tool Repairs</t>
  </si>
  <si>
    <t>Septic Tank Maintenance</t>
  </si>
  <si>
    <t>Repairs - Office Equipment</t>
  </si>
  <si>
    <t>Utilities (from COGS)</t>
  </si>
  <si>
    <t>Utilities (from Expenses)</t>
  </si>
  <si>
    <t>Licenses &amp; Other Taxes</t>
  </si>
  <si>
    <t>Waste Disposal</t>
  </si>
  <si>
    <t>Janitorial Services</t>
  </si>
  <si>
    <t>Credit Card Charges</t>
  </si>
  <si>
    <t>Bank Processing Fee</t>
  </si>
  <si>
    <t>General Insurance</t>
  </si>
  <si>
    <t>Sales &amp; Use Tax</t>
  </si>
  <si>
    <t>Leased Phone Equipment</t>
  </si>
  <si>
    <t>Rent - Miscellaneous</t>
  </si>
  <si>
    <t>Internal Allocation</t>
  </si>
  <si>
    <t>Other Taxes and Dues</t>
  </si>
  <si>
    <t>Travel</t>
  </si>
  <si>
    <t>Summer Slip Rentals</t>
  </si>
  <si>
    <t>Winter Slip Rentals</t>
  </si>
  <si>
    <t>Inside Space Rentals</t>
  </si>
  <si>
    <t>Outside Space Rental (Upland Storage - 280 Boats)</t>
  </si>
  <si>
    <t>Summer Space Rental</t>
  </si>
  <si>
    <t>Transient Fees</t>
  </si>
  <si>
    <t>Rebilled Electric</t>
  </si>
  <si>
    <t>Ice Sales</t>
  </si>
  <si>
    <t>Service &amp; Repair</t>
  </si>
  <si>
    <t>Discount - Service &amp; Repair</t>
  </si>
  <si>
    <t>Total Commercial Rentals</t>
  </si>
  <si>
    <t>Commercial Vacancy</t>
  </si>
  <si>
    <t>Interest Income</t>
  </si>
  <si>
    <t>3% Fee (Charge for CC use; will be recurring)</t>
  </si>
  <si>
    <t>Misc. Income - Other</t>
  </si>
  <si>
    <t>Finance Charge Income</t>
  </si>
  <si>
    <t>Ice for Resale</t>
  </si>
  <si>
    <t>Service Dept. Manager Payroll</t>
  </si>
  <si>
    <t>Service Dept. Employee Payroll</t>
  </si>
  <si>
    <t>Subcontractor Costs - Service</t>
  </si>
  <si>
    <t>Purchases for Resale (Svc. Dept. Parts)</t>
  </si>
  <si>
    <t>Marina Employee Payroll</t>
  </si>
  <si>
    <t>Insurance - Employee Group</t>
  </si>
  <si>
    <t>Office Employee Personnel</t>
  </si>
  <si>
    <t>Payroll Taxes - Marina</t>
  </si>
  <si>
    <t>Payroll Taxes - Service</t>
  </si>
  <si>
    <t>Payroll Taxes - G&amp;A</t>
  </si>
  <si>
    <t>Insurance - Marina Payroll</t>
  </si>
  <si>
    <t>Insurance - Service Payroll</t>
  </si>
  <si>
    <t>Insurance - G&amp;A Payroll &amp; Benefit</t>
  </si>
  <si>
    <t>Rental Commissions (Internal to Owner)</t>
  </si>
  <si>
    <t>Shareholder Management Fees</t>
  </si>
  <si>
    <t>Security Operations (Night Dock Staff)</t>
  </si>
  <si>
    <t>Professional Education</t>
  </si>
  <si>
    <t>Postage &amp; Delivery</t>
  </si>
  <si>
    <t>Stationary &amp; Supplies</t>
  </si>
  <si>
    <t>Other Expenses</t>
  </si>
  <si>
    <t>Other Administrative Costs</t>
  </si>
  <si>
    <t>Cablevision</t>
  </si>
  <si>
    <t>Advertising - Marina</t>
  </si>
  <si>
    <t>Promotions - Marina</t>
  </si>
  <si>
    <t>R&amp;M - Marina</t>
  </si>
  <si>
    <t>R&amp;M - Storage</t>
  </si>
  <si>
    <t>R&amp;M - Service</t>
  </si>
  <si>
    <t>R&amp;M - Gas Dock</t>
  </si>
  <si>
    <t>R&amp;M - Tenant</t>
  </si>
  <si>
    <t>R&amp;M - G&amp;A</t>
  </si>
  <si>
    <t>Sewer Pump Out Expense</t>
  </si>
  <si>
    <t>Ice Eater/Bubbler System</t>
  </si>
  <si>
    <t>Gas &amp; Electric - Marina</t>
  </si>
  <si>
    <t>Gas &amp; Electric - Service</t>
  </si>
  <si>
    <t>Gas &amp; Electric - Tenant</t>
  </si>
  <si>
    <t>Gas &amp; Electric - G&amp;A</t>
  </si>
  <si>
    <t>Water - Marina</t>
  </si>
  <si>
    <t>Water - Storage</t>
  </si>
  <si>
    <t>Sewer - Marina</t>
  </si>
  <si>
    <t>Permits &amp; Licenses</t>
  </si>
  <si>
    <t>Landscaping</t>
  </si>
  <si>
    <t>Refuse Removal Marina</t>
  </si>
  <si>
    <t>Subcontractor - Marina</t>
  </si>
  <si>
    <t>Bank Charges &amp; CC Fees</t>
  </si>
  <si>
    <t>Insurance Claim</t>
  </si>
  <si>
    <t>PTET</t>
  </si>
  <si>
    <t>Taxes - Other</t>
  </si>
  <si>
    <t>DOT Lease</t>
  </si>
  <si>
    <t>Intercompany Rent</t>
  </si>
  <si>
    <t>Contributions</t>
  </si>
  <si>
    <t>Moorage Rental</t>
  </si>
  <si>
    <t>Owner's Boat Slip</t>
  </si>
  <si>
    <t>Trailer Storage</t>
  </si>
  <si>
    <t>Rozema Moorage</t>
  </si>
  <si>
    <t>Boathouse Electrical</t>
  </si>
  <si>
    <t>Eco Fee</t>
  </si>
  <si>
    <t>Parking</t>
  </si>
  <si>
    <t>Electricity - Rozema</t>
  </si>
  <si>
    <t>Late Payments</t>
  </si>
  <si>
    <t>CC Processing Fee</t>
  </si>
  <si>
    <t>Returned Check Charges</t>
  </si>
  <si>
    <t>Haul Outs</t>
  </si>
  <si>
    <t>Sling Boats</t>
  </si>
  <si>
    <t>Merchandise Sales</t>
  </si>
  <si>
    <t>Tom N' Jerry's Boats (Rent + Reimbursables)</t>
  </si>
  <si>
    <t>Forklift Fuel</t>
  </si>
  <si>
    <t>Unleaded Fuel</t>
  </si>
  <si>
    <t>Less Owner's Fuel</t>
  </si>
  <si>
    <t>Help Wanted Expense</t>
  </si>
  <si>
    <t>Wages</t>
  </si>
  <si>
    <t>Payroll Expenses - Other</t>
  </si>
  <si>
    <t>Webpage &amp; Email</t>
  </si>
  <si>
    <t>Uniforms, Shirts</t>
  </si>
  <si>
    <t>Computers</t>
  </si>
  <si>
    <t>Coffee</t>
  </si>
  <si>
    <t>Credit for Phase 2</t>
  </si>
  <si>
    <t>Building</t>
  </si>
  <si>
    <t>Landscaping/Yard Maintenance</t>
  </si>
  <si>
    <t>Equipment</t>
  </si>
  <si>
    <t>Forklift Maintenance &amp; Repair</t>
  </si>
  <si>
    <t>Work Stands</t>
  </si>
  <si>
    <t>Cart Repairs</t>
  </si>
  <si>
    <t>Fuel Pump Repair</t>
  </si>
  <si>
    <t>Floor Cleaner</t>
  </si>
  <si>
    <t>Hydropmatic Pump</t>
  </si>
  <si>
    <t>Pump-Out Repair</t>
  </si>
  <si>
    <t>Gas</t>
  </si>
  <si>
    <t>Phone &amp; Internet</t>
  </si>
  <si>
    <t>Pier Design for Phase 2</t>
  </si>
  <si>
    <t>Janitorial Service</t>
  </si>
  <si>
    <t>Waste Removal</t>
  </si>
  <si>
    <t>Architects</t>
  </si>
  <si>
    <t>Credit for Phase 2 Architectural</t>
  </si>
  <si>
    <t>Consultation</t>
  </si>
  <si>
    <t>General Management</t>
  </si>
  <si>
    <t>Engineering (Dredging Permit)</t>
  </si>
  <si>
    <t>Dredging (Permit Related)</t>
  </si>
  <si>
    <t>Flood</t>
  </si>
  <si>
    <t>Liability</t>
  </si>
  <si>
    <t>Insurance Expense - Other</t>
  </si>
  <si>
    <t>B&amp;O/Excise Tax</t>
  </si>
  <si>
    <t>One-Time Tax Paid to State</t>
  </si>
  <si>
    <t>Damages</t>
  </si>
  <si>
    <t>Travel &amp; Entertainment</t>
  </si>
  <si>
    <t>Donations - Chartiable, Etc.</t>
  </si>
  <si>
    <t>Summer Wet Recreational</t>
  </si>
  <si>
    <t>Summer Wet Commercial</t>
  </si>
  <si>
    <t>Summer Moorings</t>
  </si>
  <si>
    <t>Summer Dry Storage</t>
  </si>
  <si>
    <t>Summer Trailer Storage</t>
  </si>
  <si>
    <t>Summer Guest Dockage/Moorings</t>
  </si>
  <si>
    <t>Village Dockage</t>
  </si>
  <si>
    <t>Winter Wet Storage</t>
  </si>
  <si>
    <t>Winter Dry Storage</t>
  </si>
  <si>
    <t>Winter Wet Commercial</t>
  </si>
  <si>
    <t>Storage - Other Mast</t>
  </si>
  <si>
    <t>Oil, Filters &amp; Additive Sales</t>
  </si>
  <si>
    <t>Fuel Sales - Other</t>
  </si>
  <si>
    <t>Electric Income - Topside</t>
  </si>
  <si>
    <t>Electric Income - HSM Docks</t>
  </si>
  <si>
    <t>Electric Income - HSM Building</t>
  </si>
  <si>
    <t>Electric Income - LFM Docks</t>
  </si>
  <si>
    <t>Water Income</t>
  </si>
  <si>
    <t>Ice - Block &amp; Cubes</t>
  </si>
  <si>
    <t>Parts Income</t>
  </si>
  <si>
    <t>Shrinkwrap Income</t>
  </si>
  <si>
    <t>HSM Equipment Usage</t>
  </si>
  <si>
    <t>Spring Service Income</t>
  </si>
  <si>
    <t>Marine Service Group Income</t>
  </si>
  <si>
    <t>Environmental Fee</t>
  </si>
  <si>
    <t>Yard Crew Income - Other</t>
  </si>
  <si>
    <t>Marginal Pier Topside</t>
  </si>
  <si>
    <t>Marginal Pier Tenants</t>
  </si>
  <si>
    <t>Parking Lot Income</t>
  </si>
  <si>
    <t>Cell Tower Income</t>
  </si>
  <si>
    <t>2 Essington Dr.</t>
  </si>
  <si>
    <t>315 Lincoln Rental Income - Other (Dunkin)</t>
  </si>
  <si>
    <t>24 Shipyard Net Rent</t>
  </si>
  <si>
    <t>Billboard</t>
  </si>
  <si>
    <t>Gas Dock</t>
  </si>
  <si>
    <t>Tenant 10</t>
  </si>
  <si>
    <t>COGS Oil, Filters &amp; Additives</t>
  </si>
  <si>
    <t>COGS - Ice Block &amp; Cubes</t>
  </si>
  <si>
    <t>COGS Spring Service</t>
  </si>
  <si>
    <t>COGS Spring Non-Inventoried Parts</t>
  </si>
  <si>
    <t>Subcontracted Labor - Spring</t>
  </si>
  <si>
    <t>COGS - Spring Service - Other</t>
  </si>
  <si>
    <t>COGS Shrinkwrap Materials</t>
  </si>
  <si>
    <t>Subcontracted Labor - Fall</t>
  </si>
  <si>
    <t>COGS - Fall Service - Other</t>
  </si>
  <si>
    <t>Salary &amp; Wages</t>
  </si>
  <si>
    <t>Freight In</t>
  </si>
  <si>
    <t>Customer Relations Work</t>
  </si>
  <si>
    <t>Office Expenses</t>
  </si>
  <si>
    <t>Meals &amp; Entertainment</t>
  </si>
  <si>
    <t>Seminars and Training</t>
  </si>
  <si>
    <t>Computer &amp; Internet Expenses</t>
  </si>
  <si>
    <t>R&amp;M Equip - Fuel - Internal Charges</t>
  </si>
  <si>
    <t>R&amp;M Equip - Fuel - Outside Purchases</t>
  </si>
  <si>
    <t>R&amp;M - Equipment Other</t>
  </si>
  <si>
    <t>Marina - HCM</t>
  </si>
  <si>
    <t>Marina - Moorings</t>
  </si>
  <si>
    <t>Marina - Landfall</t>
  </si>
  <si>
    <t>Marina - Marginal</t>
  </si>
  <si>
    <t>Fuel Dock</t>
  </si>
  <si>
    <t>R&amp;M - 24 Shipyard Dr.</t>
  </si>
  <si>
    <t>R&amp;M - 2 Essington</t>
  </si>
  <si>
    <t>Amesbury Dr. - Billboard</t>
  </si>
  <si>
    <t>Electric - HSM Offices</t>
  </si>
  <si>
    <t>Electric - 2nd Floor</t>
  </si>
  <si>
    <t>Electric - Docks A,B,C,D,E</t>
  </si>
  <si>
    <t>Electric - LFM Dock/Stg/Bldg.</t>
  </si>
  <si>
    <t>Electric - Docks &amp; Marginal</t>
  </si>
  <si>
    <t>Water &amp; Sewer - LFM Bldg</t>
  </si>
  <si>
    <t>Water &amp; Sewer - LFM Docks</t>
  </si>
  <si>
    <t>Water &amp; Sewer - Fire Acct.</t>
  </si>
  <si>
    <t>Water &amp; Sewer - HSM Bldg. CAM</t>
  </si>
  <si>
    <t>Water &amp; Sewer - HSM All Docks</t>
  </si>
  <si>
    <t>Water &amp; Sewer - 315 Lincoln</t>
  </si>
  <si>
    <t>Gas Meter</t>
  </si>
  <si>
    <t>Electricity Parking Lot</t>
  </si>
  <si>
    <t>Uncollected Sales Tax</t>
  </si>
  <si>
    <t>Taxes and Licenses - Other</t>
  </si>
  <si>
    <t>24 Shipyard - Elevator Service</t>
  </si>
  <si>
    <t>Service Contracts - 24 Shipyard - Other</t>
  </si>
  <si>
    <t>Janitorial Supplies</t>
  </si>
  <si>
    <t>Janitorial Services - Other</t>
  </si>
  <si>
    <t>CAM - Landscaping</t>
  </si>
  <si>
    <t>CAM - Snow Removal</t>
  </si>
  <si>
    <t>CAM - Trash Removal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</si>
</sst>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5" fillId="0" borderId="0" xfId="0" applyFont="1" applyFill="1" applyAlignment="1">
      <alignment horizontal="left"/>
    </xf>
    <xf numFmtId="164" fontId="5" fillId="0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F3400-3783-410F-AF7B-93971CF6D7E4}">
  <dimension ref="A1:AI51"/>
  <sheetViews>
    <sheetView topLeftCell="A16" workbookViewId="0">
      <selection activeCell="A40" sqref="A40"/>
    </sheetView>
  </sheetViews>
  <sheetFormatPr defaultRowHeight="15.6" x14ac:dyDescent="0.3"/>
  <cols>
    <col min="1" max="1" width="34.8984375" customWidth="1"/>
    <col min="2" max="2" width="41.09765625" bestFit="1" customWidth="1"/>
    <col min="3" max="3" width="11.69921875" bestFit="1" customWidth="1"/>
    <col min="4" max="4" width="17.09765625" bestFit="1" customWidth="1"/>
    <col min="5" max="5" width="85.5" bestFit="1" customWidth="1"/>
    <col min="6" max="6" width="16" customWidth="1"/>
    <col min="7" max="7" width="3.69921875" customWidth="1"/>
    <col min="8" max="34" width="23.3984375" customWidth="1"/>
  </cols>
  <sheetData>
    <row r="1" spans="1:35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 t="s">
        <v>1</v>
      </c>
    </row>
    <row r="2" spans="1:35" x14ac:dyDescent="0.3">
      <c r="A2" t="s">
        <v>107</v>
      </c>
      <c r="B2" t="str">
        <f>D2&amp;" "&amp;C2</f>
        <v>Storage Revenue</v>
      </c>
      <c r="C2" t="s">
        <v>0</v>
      </c>
      <c r="D2" t="s">
        <v>10</v>
      </c>
      <c r="E2" t="s">
        <v>46</v>
      </c>
      <c r="F2">
        <v>100</v>
      </c>
      <c r="AI2" t="s">
        <v>4</v>
      </c>
    </row>
    <row r="3" spans="1:35" x14ac:dyDescent="0.3">
      <c r="A3" t="s">
        <v>108</v>
      </c>
      <c r="B3" t="str">
        <f t="shared" ref="B3:B33" si="0">D3&amp;" "&amp;C3</f>
        <v>Fuel Revenue</v>
      </c>
      <c r="C3" t="s">
        <v>0</v>
      </c>
      <c r="D3" t="s">
        <v>11</v>
      </c>
      <c r="E3" t="s">
        <v>47</v>
      </c>
      <c r="F3">
        <v>101</v>
      </c>
      <c r="AI3" t="s">
        <v>2</v>
      </c>
    </row>
    <row r="4" spans="1:35" x14ac:dyDescent="0.3">
      <c r="A4" t="s">
        <v>109</v>
      </c>
      <c r="B4" t="str">
        <f t="shared" si="0"/>
        <v>Marina &amp; Amenities Revenue</v>
      </c>
      <c r="C4" t="s">
        <v>0</v>
      </c>
      <c r="D4" t="s">
        <v>12</v>
      </c>
      <c r="E4" t="s">
        <v>48</v>
      </c>
      <c r="F4">
        <v>102</v>
      </c>
      <c r="AI4" t="s">
        <v>3</v>
      </c>
    </row>
    <row r="5" spans="1:35" x14ac:dyDescent="0.3">
      <c r="A5" t="s">
        <v>110</v>
      </c>
      <c r="B5" t="str">
        <f t="shared" si="0"/>
        <v>Ship Store/Retail Revenue</v>
      </c>
      <c r="C5" t="s">
        <v>0</v>
      </c>
      <c r="D5" t="s">
        <v>13</v>
      </c>
      <c r="E5" t="s">
        <v>49</v>
      </c>
      <c r="F5">
        <v>103</v>
      </c>
      <c r="AI5" t="s">
        <v>5</v>
      </c>
    </row>
    <row r="6" spans="1:35" x14ac:dyDescent="0.3">
      <c r="A6" t="s">
        <v>111</v>
      </c>
      <c r="B6" t="str">
        <f t="shared" si="0"/>
        <v>Service Revenue</v>
      </c>
      <c r="C6" t="s">
        <v>0</v>
      </c>
      <c r="D6" t="s">
        <v>14</v>
      </c>
      <c r="E6" t="s">
        <v>50</v>
      </c>
      <c r="F6">
        <v>104</v>
      </c>
      <c r="AI6" t="s">
        <v>6</v>
      </c>
    </row>
    <row r="7" spans="1:35" x14ac:dyDescent="0.3">
      <c r="A7" t="s">
        <v>112</v>
      </c>
      <c r="B7" t="str">
        <f t="shared" si="0"/>
        <v>Parts Revenue</v>
      </c>
      <c r="C7" t="s">
        <v>0</v>
      </c>
      <c r="D7" t="s">
        <v>15</v>
      </c>
      <c r="E7" t="s">
        <v>51</v>
      </c>
      <c r="F7">
        <v>105</v>
      </c>
      <c r="AI7" t="s">
        <v>7</v>
      </c>
    </row>
    <row r="8" spans="1:35" x14ac:dyDescent="0.3">
      <c r="A8" t="s">
        <v>113</v>
      </c>
      <c r="B8" t="str">
        <f t="shared" si="0"/>
        <v>Third-Party Leases Revenue</v>
      </c>
      <c r="C8" t="s">
        <v>0</v>
      </c>
      <c r="D8" t="s">
        <v>16</v>
      </c>
      <c r="E8" t="s">
        <v>52</v>
      </c>
      <c r="F8">
        <v>106</v>
      </c>
      <c r="AI8" t="s">
        <v>8</v>
      </c>
    </row>
    <row r="9" spans="1:35" x14ac:dyDescent="0.3">
      <c r="A9" t="s">
        <v>114</v>
      </c>
      <c r="B9" t="str">
        <f t="shared" si="0"/>
        <v>In-House Boat Club Revenue</v>
      </c>
      <c r="C9" t="s">
        <v>0</v>
      </c>
      <c r="D9" t="s">
        <v>17</v>
      </c>
      <c r="E9" t="s">
        <v>53</v>
      </c>
      <c r="F9">
        <v>107</v>
      </c>
      <c r="AI9" t="s">
        <v>9</v>
      </c>
    </row>
    <row r="10" spans="1:35" x14ac:dyDescent="0.3">
      <c r="A10" t="s">
        <v>115</v>
      </c>
      <c r="B10" t="str">
        <f t="shared" si="0"/>
        <v>Boat Rentals Revenue</v>
      </c>
      <c r="C10" t="s">
        <v>0</v>
      </c>
      <c r="D10" t="s">
        <v>18</v>
      </c>
      <c r="E10" t="s">
        <v>54</v>
      </c>
      <c r="F10">
        <v>108</v>
      </c>
    </row>
    <row r="11" spans="1:35" x14ac:dyDescent="0.3">
      <c r="A11" t="s">
        <v>116</v>
      </c>
      <c r="B11" t="str">
        <f t="shared" si="0"/>
        <v>Boat Sales Revenue</v>
      </c>
      <c r="C11" t="s">
        <v>0</v>
      </c>
      <c r="D11" t="s">
        <v>19</v>
      </c>
      <c r="E11" t="s">
        <v>55</v>
      </c>
      <c r="F11">
        <v>109</v>
      </c>
    </row>
    <row r="12" spans="1:35" x14ac:dyDescent="0.3">
      <c r="A12" t="s">
        <v>117</v>
      </c>
      <c r="B12" t="str">
        <f t="shared" si="0"/>
        <v>Boat Finance Revenue</v>
      </c>
      <c r="C12" t="s">
        <v>0</v>
      </c>
      <c r="D12" t="s">
        <v>20</v>
      </c>
      <c r="E12" t="s">
        <v>56</v>
      </c>
      <c r="F12">
        <v>110</v>
      </c>
    </row>
    <row r="13" spans="1:35" x14ac:dyDescent="0.3">
      <c r="A13" t="s">
        <v>118</v>
      </c>
      <c r="B13" t="str">
        <f t="shared" si="0"/>
        <v>Boat Brokerage Revenue</v>
      </c>
      <c r="C13" t="s">
        <v>0</v>
      </c>
      <c r="D13" t="s">
        <v>21</v>
      </c>
      <c r="E13" t="s">
        <v>57</v>
      </c>
      <c r="F13">
        <v>111</v>
      </c>
    </row>
    <row r="14" spans="1:35" x14ac:dyDescent="0.3">
      <c r="A14" t="s">
        <v>105</v>
      </c>
      <c r="B14" t="str">
        <f t="shared" si="0"/>
        <v>F&amp;B Revenue</v>
      </c>
      <c r="C14" t="s">
        <v>0</v>
      </c>
      <c r="D14" t="s">
        <v>22</v>
      </c>
      <c r="E14" t="s">
        <v>58</v>
      </c>
      <c r="F14">
        <v>112</v>
      </c>
    </row>
    <row r="15" spans="1:35" x14ac:dyDescent="0.3">
      <c r="A15" t="s">
        <v>119</v>
      </c>
      <c r="B15" t="str">
        <f t="shared" si="0"/>
        <v>RV Park Revenue</v>
      </c>
      <c r="C15" t="s">
        <v>0</v>
      </c>
      <c r="D15" t="s">
        <v>23</v>
      </c>
      <c r="E15" t="s">
        <v>59</v>
      </c>
      <c r="F15">
        <v>113</v>
      </c>
    </row>
    <row r="16" spans="1:35" x14ac:dyDescent="0.3">
      <c r="A16" t="s">
        <v>120</v>
      </c>
      <c r="B16" t="str">
        <f t="shared" si="0"/>
        <v>Hospitality/Lodging Revenue</v>
      </c>
      <c r="C16" t="s">
        <v>0</v>
      </c>
      <c r="D16" t="s">
        <v>24</v>
      </c>
      <c r="E16" t="s">
        <v>60</v>
      </c>
      <c r="F16">
        <v>114</v>
      </c>
    </row>
    <row r="17" spans="1:6" x14ac:dyDescent="0.3">
      <c r="A17" t="s">
        <v>121</v>
      </c>
      <c r="B17" t="str">
        <f t="shared" si="0"/>
        <v>Miscellaneous Revenue</v>
      </c>
      <c r="C17" t="s">
        <v>0</v>
      </c>
      <c r="D17" t="s">
        <v>39</v>
      </c>
      <c r="E17" t="s">
        <v>61</v>
      </c>
      <c r="F17">
        <v>115</v>
      </c>
    </row>
    <row r="18" spans="1:6" x14ac:dyDescent="0.3">
      <c r="A18" t="s">
        <v>122</v>
      </c>
      <c r="B18" t="str">
        <f t="shared" si="0"/>
        <v>Storage COGS</v>
      </c>
      <c r="C18" t="s">
        <v>25</v>
      </c>
      <c r="D18" t="s">
        <v>10</v>
      </c>
      <c r="E18" t="s">
        <v>62</v>
      </c>
      <c r="F18">
        <v>200</v>
      </c>
    </row>
    <row r="19" spans="1:6" x14ac:dyDescent="0.3">
      <c r="A19" t="s">
        <v>123</v>
      </c>
      <c r="B19" t="str">
        <f t="shared" si="0"/>
        <v>Fuel COGS</v>
      </c>
      <c r="C19" t="s">
        <v>25</v>
      </c>
      <c r="D19" t="s">
        <v>11</v>
      </c>
      <c r="E19" t="s">
        <v>62</v>
      </c>
      <c r="F19">
        <v>201</v>
      </c>
    </row>
    <row r="20" spans="1:6" x14ac:dyDescent="0.3">
      <c r="A20" t="s">
        <v>124</v>
      </c>
      <c r="B20" t="str">
        <f t="shared" si="0"/>
        <v>Marina &amp; Amenities COGS</v>
      </c>
      <c r="C20" t="s">
        <v>25</v>
      </c>
      <c r="D20" t="s">
        <v>12</v>
      </c>
      <c r="E20" t="s">
        <v>62</v>
      </c>
      <c r="F20">
        <v>202</v>
      </c>
    </row>
    <row r="21" spans="1:6" x14ac:dyDescent="0.3">
      <c r="A21" t="s">
        <v>125</v>
      </c>
      <c r="B21" t="str">
        <f t="shared" si="0"/>
        <v>Ship Store/Retail COGS</v>
      </c>
      <c r="C21" t="s">
        <v>25</v>
      </c>
      <c r="D21" t="s">
        <v>13</v>
      </c>
      <c r="E21" t="s">
        <v>62</v>
      </c>
      <c r="F21">
        <v>203</v>
      </c>
    </row>
    <row r="22" spans="1:6" x14ac:dyDescent="0.3">
      <c r="A22" t="s">
        <v>126</v>
      </c>
      <c r="B22" t="str">
        <f t="shared" si="0"/>
        <v>Service COGS</v>
      </c>
      <c r="C22" t="s">
        <v>25</v>
      </c>
      <c r="D22" t="s">
        <v>14</v>
      </c>
      <c r="E22" t="s">
        <v>62</v>
      </c>
      <c r="F22">
        <v>204</v>
      </c>
    </row>
    <row r="23" spans="1:6" x14ac:dyDescent="0.3">
      <c r="A23" t="s">
        <v>127</v>
      </c>
      <c r="B23" t="str">
        <f t="shared" si="0"/>
        <v>Parts COGS</v>
      </c>
      <c r="C23" t="s">
        <v>25</v>
      </c>
      <c r="D23" t="s">
        <v>15</v>
      </c>
      <c r="E23" t="s">
        <v>62</v>
      </c>
      <c r="F23">
        <v>205</v>
      </c>
    </row>
    <row r="24" spans="1:6" x14ac:dyDescent="0.3">
      <c r="A24" t="s">
        <v>128</v>
      </c>
      <c r="B24" t="str">
        <f t="shared" si="0"/>
        <v>Third-Party Leases COGS</v>
      </c>
      <c r="C24" t="s">
        <v>25</v>
      </c>
      <c r="D24" t="s">
        <v>16</v>
      </c>
      <c r="E24" t="s">
        <v>62</v>
      </c>
      <c r="F24">
        <v>206</v>
      </c>
    </row>
    <row r="25" spans="1:6" x14ac:dyDescent="0.3">
      <c r="A25" t="s">
        <v>129</v>
      </c>
      <c r="B25" t="str">
        <f t="shared" si="0"/>
        <v>In-House Boat Club COGS</v>
      </c>
      <c r="C25" t="s">
        <v>25</v>
      </c>
      <c r="D25" t="s">
        <v>17</v>
      </c>
      <c r="E25" t="s">
        <v>62</v>
      </c>
      <c r="F25">
        <v>207</v>
      </c>
    </row>
    <row r="26" spans="1:6" x14ac:dyDescent="0.3">
      <c r="A26" t="s">
        <v>130</v>
      </c>
      <c r="B26" t="str">
        <f t="shared" si="0"/>
        <v>Boat Rentals COGS</v>
      </c>
      <c r="C26" t="s">
        <v>25</v>
      </c>
      <c r="D26" t="s">
        <v>18</v>
      </c>
      <c r="E26" t="s">
        <v>62</v>
      </c>
      <c r="F26">
        <v>208</v>
      </c>
    </row>
    <row r="27" spans="1:6" x14ac:dyDescent="0.3">
      <c r="A27" t="s">
        <v>131</v>
      </c>
      <c r="B27" t="str">
        <f t="shared" si="0"/>
        <v>Boat Sales COGS</v>
      </c>
      <c r="C27" t="s">
        <v>25</v>
      </c>
      <c r="D27" t="s">
        <v>19</v>
      </c>
      <c r="E27" t="s">
        <v>62</v>
      </c>
      <c r="F27">
        <v>209</v>
      </c>
    </row>
    <row r="28" spans="1:6" x14ac:dyDescent="0.3">
      <c r="A28" t="s">
        <v>132</v>
      </c>
      <c r="B28" t="str">
        <f t="shared" si="0"/>
        <v>Boat Finance COGS</v>
      </c>
      <c r="C28" t="s">
        <v>25</v>
      </c>
      <c r="D28" t="s">
        <v>20</v>
      </c>
      <c r="E28" t="s">
        <v>62</v>
      </c>
      <c r="F28">
        <v>210</v>
      </c>
    </row>
    <row r="29" spans="1:6" x14ac:dyDescent="0.3">
      <c r="A29" t="s">
        <v>133</v>
      </c>
      <c r="B29" t="str">
        <f t="shared" si="0"/>
        <v>Boat Brokerage COGS</v>
      </c>
      <c r="C29" t="s">
        <v>25</v>
      </c>
      <c r="D29" t="s">
        <v>21</v>
      </c>
      <c r="E29" t="s">
        <v>62</v>
      </c>
      <c r="F29">
        <v>211</v>
      </c>
    </row>
    <row r="30" spans="1:6" x14ac:dyDescent="0.3">
      <c r="A30" t="s">
        <v>134</v>
      </c>
      <c r="B30" t="str">
        <f t="shared" si="0"/>
        <v>F&amp;B COGS</v>
      </c>
      <c r="C30" t="s">
        <v>25</v>
      </c>
      <c r="D30" t="s">
        <v>22</v>
      </c>
      <c r="E30" t="s">
        <v>62</v>
      </c>
      <c r="F30">
        <v>212</v>
      </c>
    </row>
    <row r="31" spans="1:6" x14ac:dyDescent="0.3">
      <c r="A31" t="s">
        <v>135</v>
      </c>
      <c r="B31" t="str">
        <f t="shared" si="0"/>
        <v>RV Park COGS</v>
      </c>
      <c r="C31" t="s">
        <v>25</v>
      </c>
      <c r="D31" t="s">
        <v>23</v>
      </c>
      <c r="E31" t="s">
        <v>62</v>
      </c>
      <c r="F31">
        <v>213</v>
      </c>
    </row>
    <row r="32" spans="1:6" x14ac:dyDescent="0.3">
      <c r="A32" t="s">
        <v>136</v>
      </c>
      <c r="B32" t="str">
        <f t="shared" si="0"/>
        <v>Hospitality/Lodging COGS</v>
      </c>
      <c r="C32" t="s">
        <v>25</v>
      </c>
      <c r="D32" t="s">
        <v>24</v>
      </c>
      <c r="E32" t="s">
        <v>62</v>
      </c>
      <c r="F32">
        <v>214</v>
      </c>
    </row>
    <row r="33" spans="1:6" x14ac:dyDescent="0.3">
      <c r="A33" t="s">
        <v>137</v>
      </c>
      <c r="B33" t="str">
        <f t="shared" si="0"/>
        <v>Miscellaneous COGS</v>
      </c>
      <c r="C33" t="s">
        <v>25</v>
      </c>
      <c r="D33" t="s">
        <v>39</v>
      </c>
      <c r="E33" t="s">
        <v>62</v>
      </c>
      <c r="F33">
        <v>215</v>
      </c>
    </row>
    <row r="34" spans="1:6" x14ac:dyDescent="0.3">
      <c r="A34" t="s">
        <v>138</v>
      </c>
      <c r="B34" t="str">
        <f>D34&amp;" "&amp;"Expense"</f>
        <v>Payroll Expense</v>
      </c>
      <c r="C34" t="s">
        <v>26</v>
      </c>
      <c r="D34" t="s">
        <v>27</v>
      </c>
      <c r="E34" t="s">
        <v>63</v>
      </c>
      <c r="F34">
        <v>300</v>
      </c>
    </row>
    <row r="35" spans="1:6" x14ac:dyDescent="0.3">
      <c r="A35" t="s">
        <v>139</v>
      </c>
      <c r="B35" t="str">
        <f t="shared" ref="B35:B51" si="1">D35&amp;" "&amp;"Expense"</f>
        <v>General &amp; Administrative Expense</v>
      </c>
      <c r="C35" t="s">
        <v>26</v>
      </c>
      <c r="D35" t="s">
        <v>28</v>
      </c>
      <c r="F35">
        <v>301</v>
      </c>
    </row>
    <row r="36" spans="1:6" x14ac:dyDescent="0.3">
      <c r="A36" t="s">
        <v>140</v>
      </c>
      <c r="B36" t="str">
        <f t="shared" si="1"/>
        <v>Advertising Expense</v>
      </c>
      <c r="C36" t="s">
        <v>26</v>
      </c>
      <c r="D36" t="s">
        <v>29</v>
      </c>
      <c r="F36">
        <v>302</v>
      </c>
    </row>
    <row r="37" spans="1:6" x14ac:dyDescent="0.3">
      <c r="A37" t="s">
        <v>141</v>
      </c>
      <c r="B37" t="str">
        <f t="shared" si="1"/>
        <v>Repairs &amp; Maintenance Expense</v>
      </c>
      <c r="C37" t="s">
        <v>26</v>
      </c>
      <c r="D37" t="s">
        <v>30</v>
      </c>
      <c r="F37">
        <v>303</v>
      </c>
    </row>
    <row r="38" spans="1:6" x14ac:dyDescent="0.3">
      <c r="A38" t="s">
        <v>142</v>
      </c>
      <c r="B38" t="str">
        <f t="shared" si="1"/>
        <v>Utilities Expense</v>
      </c>
      <c r="C38" t="s">
        <v>26</v>
      </c>
      <c r="D38" t="s">
        <v>31</v>
      </c>
      <c r="F38">
        <v>304</v>
      </c>
    </row>
    <row r="39" spans="1:6" x14ac:dyDescent="0.3">
      <c r="A39" t="s">
        <v>143</v>
      </c>
      <c r="B39" t="str">
        <f t="shared" si="1"/>
        <v>Licenses &amp; Permits Expense</v>
      </c>
      <c r="C39" t="s">
        <v>26</v>
      </c>
      <c r="D39" t="s">
        <v>32</v>
      </c>
      <c r="F39">
        <v>305</v>
      </c>
    </row>
    <row r="40" spans="1:6" x14ac:dyDescent="0.3">
      <c r="A40" t="s">
        <v>144</v>
      </c>
      <c r="B40" t="str">
        <f t="shared" si="1"/>
        <v>Security &amp; Contract Services Expense</v>
      </c>
      <c r="C40" t="s">
        <v>26</v>
      </c>
      <c r="D40" t="s">
        <v>33</v>
      </c>
      <c r="F40">
        <v>306</v>
      </c>
    </row>
    <row r="41" spans="1:6" x14ac:dyDescent="0.3">
      <c r="A41" t="s">
        <v>145</v>
      </c>
      <c r="B41" t="str">
        <f t="shared" si="1"/>
        <v>Bank/Credit Card Fees Expense</v>
      </c>
      <c r="C41" t="s">
        <v>26</v>
      </c>
      <c r="D41" t="s">
        <v>34</v>
      </c>
      <c r="F41">
        <v>307</v>
      </c>
    </row>
    <row r="42" spans="1:6" x14ac:dyDescent="0.3">
      <c r="A42" t="s">
        <v>146</v>
      </c>
      <c r="B42" t="str">
        <f t="shared" si="1"/>
        <v>Professional Services Expense</v>
      </c>
      <c r="C42" t="s">
        <v>26</v>
      </c>
      <c r="D42" t="s">
        <v>35</v>
      </c>
      <c r="F42">
        <v>308</v>
      </c>
    </row>
    <row r="43" spans="1:6" x14ac:dyDescent="0.3">
      <c r="A43" t="s">
        <v>147</v>
      </c>
      <c r="B43" t="str">
        <f t="shared" si="1"/>
        <v>Insurance Expense</v>
      </c>
      <c r="C43" t="s">
        <v>26</v>
      </c>
      <c r="D43" t="s">
        <v>36</v>
      </c>
      <c r="F43">
        <v>309</v>
      </c>
    </row>
    <row r="44" spans="1:6" x14ac:dyDescent="0.3">
      <c r="A44" t="s">
        <v>148</v>
      </c>
      <c r="B44" t="str">
        <f t="shared" si="1"/>
        <v>Property Taxes Expense</v>
      </c>
      <c r="C44" t="s">
        <v>26</v>
      </c>
      <c r="D44" t="s">
        <v>37</v>
      </c>
      <c r="F44">
        <v>310</v>
      </c>
    </row>
    <row r="45" spans="1:6" x14ac:dyDescent="0.3">
      <c r="A45" t="s">
        <v>149</v>
      </c>
      <c r="B45" t="str">
        <f t="shared" si="1"/>
        <v>Leases Expense</v>
      </c>
      <c r="C45" t="s">
        <v>26</v>
      </c>
      <c r="D45" t="s">
        <v>38</v>
      </c>
      <c r="F45">
        <v>311</v>
      </c>
    </row>
    <row r="46" spans="1:6" x14ac:dyDescent="0.3">
      <c r="A46" t="s">
        <v>106</v>
      </c>
      <c r="B46" t="str">
        <f t="shared" si="1"/>
        <v>F&amp;B Expense</v>
      </c>
      <c r="C46" t="s">
        <v>26</v>
      </c>
      <c r="D46" t="s">
        <v>22</v>
      </c>
      <c r="F46">
        <v>312</v>
      </c>
    </row>
    <row r="47" spans="1:6" x14ac:dyDescent="0.3">
      <c r="A47" t="s">
        <v>150</v>
      </c>
      <c r="B47" t="str">
        <f t="shared" si="1"/>
        <v>Service Expense</v>
      </c>
      <c r="C47" t="s">
        <v>26</v>
      </c>
      <c r="D47" t="s">
        <v>14</v>
      </c>
      <c r="F47">
        <v>313</v>
      </c>
    </row>
    <row r="48" spans="1:6" x14ac:dyDescent="0.3">
      <c r="A48" t="s">
        <v>151</v>
      </c>
      <c r="B48" t="str">
        <f t="shared" si="1"/>
        <v>Parts Expense</v>
      </c>
      <c r="C48" t="s">
        <v>26</v>
      </c>
      <c r="D48" t="s">
        <v>15</v>
      </c>
      <c r="F48">
        <v>314</v>
      </c>
    </row>
    <row r="49" spans="1:6" x14ac:dyDescent="0.3">
      <c r="A49" t="s">
        <v>152</v>
      </c>
      <c r="B49" t="str">
        <f t="shared" si="1"/>
        <v>RV Park Expense</v>
      </c>
      <c r="C49" t="s">
        <v>26</v>
      </c>
      <c r="D49" t="s">
        <v>23</v>
      </c>
      <c r="F49">
        <v>315</v>
      </c>
    </row>
    <row r="50" spans="1:6" x14ac:dyDescent="0.3">
      <c r="A50" t="s">
        <v>153</v>
      </c>
      <c r="B50" t="str">
        <f t="shared" si="1"/>
        <v>Hospitality/Lodging Expense</v>
      </c>
      <c r="C50" t="s">
        <v>26</v>
      </c>
      <c r="D50" t="s">
        <v>24</v>
      </c>
      <c r="F50">
        <v>316</v>
      </c>
    </row>
    <row r="51" spans="1:6" x14ac:dyDescent="0.3">
      <c r="A51" t="s">
        <v>154</v>
      </c>
      <c r="B51" t="str">
        <f t="shared" si="1"/>
        <v>Miscellaneous Expense</v>
      </c>
      <c r="C51" t="s">
        <v>26</v>
      </c>
      <c r="D51" t="s">
        <v>39</v>
      </c>
      <c r="F51">
        <v>317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A931C-BCD8-412B-B269-82436B9BA947}">
  <dimension ref="A1:D17"/>
  <sheetViews>
    <sheetView workbookViewId="0">
      <selection activeCell="A8" sqref="A8"/>
    </sheetView>
  </sheetViews>
  <sheetFormatPr defaultRowHeight="15.6" x14ac:dyDescent="0.3"/>
  <cols>
    <col min="1" max="1" width="24.8984375" bestFit="1" customWidth="1"/>
    <col min="2" max="2" width="17.8984375" bestFit="1" customWidth="1"/>
    <col min="3" max="3" width="15.19921875" bestFit="1" customWidth="1"/>
    <col min="4" max="4" width="9.796875" bestFit="1" customWidth="1"/>
  </cols>
  <sheetData>
    <row r="1" spans="1:4" x14ac:dyDescent="0.3">
      <c r="A1" t="s">
        <v>64</v>
      </c>
      <c r="B1" t="s">
        <v>65</v>
      </c>
      <c r="C1" t="s">
        <v>66</v>
      </c>
      <c r="D1" t="s">
        <v>45</v>
      </c>
    </row>
    <row r="2" spans="1:4" x14ac:dyDescent="0.3">
      <c r="A2" t="s">
        <v>68</v>
      </c>
      <c r="B2" t="s">
        <v>10</v>
      </c>
      <c r="C2" t="s">
        <v>83</v>
      </c>
      <c r="D2">
        <v>110</v>
      </c>
    </row>
    <row r="3" spans="1:4" x14ac:dyDescent="0.3">
      <c r="A3" t="s">
        <v>69</v>
      </c>
      <c r="B3" t="s">
        <v>11</v>
      </c>
      <c r="C3" t="s">
        <v>83</v>
      </c>
      <c r="D3">
        <v>120</v>
      </c>
    </row>
    <row r="4" spans="1:4" x14ac:dyDescent="0.3">
      <c r="A4" t="s">
        <v>70</v>
      </c>
      <c r="B4" t="s">
        <v>12</v>
      </c>
      <c r="C4" t="s">
        <v>83</v>
      </c>
      <c r="D4">
        <v>130</v>
      </c>
    </row>
    <row r="5" spans="1:4" x14ac:dyDescent="0.3">
      <c r="A5" t="s">
        <v>71</v>
      </c>
      <c r="B5" t="s">
        <v>13</v>
      </c>
      <c r="C5" t="s">
        <v>83</v>
      </c>
      <c r="D5">
        <v>140</v>
      </c>
    </row>
    <row r="6" spans="1:4" x14ac:dyDescent="0.3">
      <c r="A6" t="s">
        <v>72</v>
      </c>
      <c r="B6" t="s">
        <v>14</v>
      </c>
      <c r="C6" t="s">
        <v>83</v>
      </c>
      <c r="D6">
        <v>150</v>
      </c>
    </row>
    <row r="7" spans="1:4" x14ac:dyDescent="0.3">
      <c r="A7" t="s">
        <v>73</v>
      </c>
      <c r="B7" t="s">
        <v>15</v>
      </c>
      <c r="C7" t="s">
        <v>83</v>
      </c>
      <c r="D7">
        <v>160</v>
      </c>
    </row>
    <row r="8" spans="1:4" x14ac:dyDescent="0.3">
      <c r="A8" t="s">
        <v>74</v>
      </c>
      <c r="B8" t="s">
        <v>16</v>
      </c>
      <c r="C8" t="s">
        <v>84</v>
      </c>
      <c r="D8">
        <v>310</v>
      </c>
    </row>
    <row r="9" spans="1:4" x14ac:dyDescent="0.3">
      <c r="A9" t="s">
        <v>75</v>
      </c>
      <c r="B9" t="s">
        <v>17</v>
      </c>
      <c r="C9" t="s">
        <v>85</v>
      </c>
      <c r="D9">
        <v>210</v>
      </c>
    </row>
    <row r="10" spans="1:4" x14ac:dyDescent="0.3">
      <c r="A10" t="s">
        <v>76</v>
      </c>
      <c r="B10" t="s">
        <v>18</v>
      </c>
      <c r="C10" t="s">
        <v>85</v>
      </c>
      <c r="D10">
        <v>220</v>
      </c>
    </row>
    <row r="11" spans="1:4" x14ac:dyDescent="0.3">
      <c r="A11" t="s">
        <v>77</v>
      </c>
      <c r="B11" t="s">
        <v>19</v>
      </c>
      <c r="C11" t="s">
        <v>85</v>
      </c>
      <c r="D11">
        <v>230</v>
      </c>
    </row>
    <row r="12" spans="1:4" x14ac:dyDescent="0.3">
      <c r="A12" t="s">
        <v>78</v>
      </c>
      <c r="B12" t="s">
        <v>20</v>
      </c>
      <c r="C12" t="s">
        <v>85</v>
      </c>
      <c r="D12">
        <v>240</v>
      </c>
    </row>
    <row r="13" spans="1:4" x14ac:dyDescent="0.3">
      <c r="A13" t="s">
        <v>79</v>
      </c>
      <c r="B13" t="s">
        <v>21</v>
      </c>
      <c r="C13" t="s">
        <v>85</v>
      </c>
      <c r="D13">
        <v>250</v>
      </c>
    </row>
    <row r="14" spans="1:4" x14ac:dyDescent="0.3">
      <c r="A14" t="s">
        <v>67</v>
      </c>
      <c r="B14" t="s">
        <v>22</v>
      </c>
      <c r="C14" t="s">
        <v>85</v>
      </c>
      <c r="D14">
        <v>260</v>
      </c>
    </row>
    <row r="15" spans="1:4" x14ac:dyDescent="0.3">
      <c r="A15" t="s">
        <v>80</v>
      </c>
      <c r="B15" t="s">
        <v>23</v>
      </c>
      <c r="C15" t="s">
        <v>85</v>
      </c>
      <c r="D15">
        <v>270</v>
      </c>
    </row>
    <row r="16" spans="1:4" x14ac:dyDescent="0.3">
      <c r="A16" t="s">
        <v>81</v>
      </c>
      <c r="B16" t="s">
        <v>24</v>
      </c>
      <c r="C16" t="s">
        <v>85</v>
      </c>
      <c r="D16">
        <v>280</v>
      </c>
    </row>
    <row r="17" spans="1:4" x14ac:dyDescent="0.3">
      <c r="A17" t="s">
        <v>82</v>
      </c>
      <c r="B17" t="s">
        <v>39</v>
      </c>
      <c r="C17" t="s">
        <v>85</v>
      </c>
      <c r="D17">
        <v>290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266B1-6DB0-4A44-BFF3-F65123714613}">
  <dimension ref="A1:D780"/>
  <sheetViews>
    <sheetView tabSelected="1" topLeftCell="A760" workbookViewId="0">
      <selection activeCell="A766" sqref="A766"/>
    </sheetView>
  </sheetViews>
  <sheetFormatPr defaultRowHeight="15.6" x14ac:dyDescent="0.3"/>
  <cols>
    <col min="1" max="1" width="45.8984375" style="2" bestFit="1" customWidth="1"/>
    <col min="2" max="2" width="32" bestFit="1" customWidth="1"/>
    <col min="3" max="3" width="22.59765625" bestFit="1" customWidth="1"/>
    <col min="4" max="4" width="5.59765625" bestFit="1" customWidth="1"/>
  </cols>
  <sheetData>
    <row r="1" spans="1:4" x14ac:dyDescent="0.3">
      <c r="A1" s="2" t="s">
        <v>86</v>
      </c>
      <c r="B1" t="s">
        <v>87</v>
      </c>
      <c r="C1" t="s">
        <v>88</v>
      </c>
      <c r="D1" t="s">
        <v>89</v>
      </c>
    </row>
    <row r="2" spans="1:4" x14ac:dyDescent="0.3">
      <c r="A2" s="2" t="s">
        <v>90</v>
      </c>
      <c r="B2" t="s">
        <v>107</v>
      </c>
      <c r="C2" t="s">
        <v>68</v>
      </c>
    </row>
    <row r="3" spans="1:4" x14ac:dyDescent="0.3">
      <c r="A3" s="2" t="s">
        <v>91</v>
      </c>
      <c r="B3" t="s">
        <v>107</v>
      </c>
      <c r="C3" t="s">
        <v>68</v>
      </c>
    </row>
    <row r="4" spans="1:4" x14ac:dyDescent="0.3">
      <c r="A4" s="2" t="s">
        <v>92</v>
      </c>
      <c r="B4" t="s">
        <v>107</v>
      </c>
      <c r="C4" t="s">
        <v>68</v>
      </c>
    </row>
    <row r="5" spans="1:4" x14ac:dyDescent="0.3">
      <c r="A5" s="2" t="s">
        <v>93</v>
      </c>
      <c r="B5" t="s">
        <v>107</v>
      </c>
      <c r="C5" t="s">
        <v>68</v>
      </c>
    </row>
    <row r="6" spans="1:4" x14ac:dyDescent="0.3">
      <c r="A6" s="2" t="s">
        <v>94</v>
      </c>
      <c r="B6" t="s">
        <v>107</v>
      </c>
      <c r="C6" t="s">
        <v>68</v>
      </c>
    </row>
    <row r="7" spans="1:4" x14ac:dyDescent="0.3">
      <c r="A7" s="2" t="s">
        <v>95</v>
      </c>
      <c r="B7" t="s">
        <v>107</v>
      </c>
      <c r="C7" t="s">
        <v>68</v>
      </c>
    </row>
    <row r="8" spans="1:4" x14ac:dyDescent="0.3">
      <c r="A8" s="2" t="s">
        <v>96</v>
      </c>
      <c r="B8" t="s">
        <v>107</v>
      </c>
      <c r="C8" t="s">
        <v>68</v>
      </c>
    </row>
    <row r="9" spans="1:4" x14ac:dyDescent="0.3">
      <c r="A9" s="2" t="s">
        <v>97</v>
      </c>
      <c r="B9" t="s">
        <v>107</v>
      </c>
      <c r="C9" t="s">
        <v>68</v>
      </c>
    </row>
    <row r="10" spans="1:4" x14ac:dyDescent="0.3">
      <c r="A10" s="2" t="s">
        <v>98</v>
      </c>
      <c r="B10" t="s">
        <v>107</v>
      </c>
      <c r="C10" t="s">
        <v>68</v>
      </c>
    </row>
    <row r="11" spans="1:4" x14ac:dyDescent="0.3">
      <c r="A11" s="2" t="s">
        <v>99</v>
      </c>
      <c r="B11" t="s">
        <v>107</v>
      </c>
      <c r="C11" t="s">
        <v>68</v>
      </c>
    </row>
    <row r="12" spans="1:4" x14ac:dyDescent="0.3">
      <c r="A12" s="2" t="s">
        <v>100</v>
      </c>
      <c r="B12" t="s">
        <v>107</v>
      </c>
      <c r="C12" t="s">
        <v>68</v>
      </c>
    </row>
    <row r="13" spans="1:4" x14ac:dyDescent="0.3">
      <c r="A13" s="2" t="s">
        <v>101</v>
      </c>
      <c r="B13" t="s">
        <v>107</v>
      </c>
      <c r="C13" t="s">
        <v>68</v>
      </c>
    </row>
    <row r="14" spans="1:4" x14ac:dyDescent="0.3">
      <c r="A14" s="2" t="s">
        <v>102</v>
      </c>
      <c r="B14" t="s">
        <v>108</v>
      </c>
      <c r="C14" t="s">
        <v>69</v>
      </c>
    </row>
    <row r="15" spans="1:4" x14ac:dyDescent="0.3">
      <c r="A15" s="2" t="s">
        <v>103</v>
      </c>
      <c r="B15" t="s">
        <v>108</v>
      </c>
      <c r="C15" t="s">
        <v>69</v>
      </c>
    </row>
    <row r="16" spans="1:4" x14ac:dyDescent="0.3">
      <c r="A16" s="2" t="s">
        <v>104</v>
      </c>
      <c r="B16" t="s">
        <v>108</v>
      </c>
      <c r="C16" t="s">
        <v>69</v>
      </c>
    </row>
    <row r="17" spans="1:3" x14ac:dyDescent="0.3">
      <c r="A17" s="2" t="s">
        <v>155</v>
      </c>
      <c r="B17" t="s">
        <v>109</v>
      </c>
      <c r="C17" t="s">
        <v>70</v>
      </c>
    </row>
    <row r="18" spans="1:3" x14ac:dyDescent="0.3">
      <c r="A18" s="2" t="s">
        <v>156</v>
      </c>
      <c r="B18" t="s">
        <v>109</v>
      </c>
      <c r="C18" t="s">
        <v>70</v>
      </c>
    </row>
    <row r="19" spans="1:3" x14ac:dyDescent="0.3">
      <c r="A19" s="2" t="s">
        <v>157</v>
      </c>
      <c r="B19" t="s">
        <v>120</v>
      </c>
      <c r="C19" t="s">
        <v>81</v>
      </c>
    </row>
    <row r="20" spans="1:3" x14ac:dyDescent="0.3">
      <c r="A20" s="3" t="s">
        <v>158</v>
      </c>
      <c r="B20" t="s">
        <v>110</v>
      </c>
      <c r="C20" t="s">
        <v>71</v>
      </c>
    </row>
    <row r="21" spans="1:3" x14ac:dyDescent="0.3">
      <c r="A21" s="3" t="s">
        <v>159</v>
      </c>
      <c r="B21" t="s">
        <v>110</v>
      </c>
      <c r="C21" t="s">
        <v>71</v>
      </c>
    </row>
    <row r="22" spans="1:3" x14ac:dyDescent="0.3">
      <c r="A22" s="3" t="s">
        <v>160</v>
      </c>
      <c r="B22" t="s">
        <v>110</v>
      </c>
      <c r="C22" t="s">
        <v>71</v>
      </c>
    </row>
    <row r="23" spans="1:3" x14ac:dyDescent="0.3">
      <c r="A23" s="3" t="s">
        <v>161</v>
      </c>
      <c r="B23" t="s">
        <v>110</v>
      </c>
      <c r="C23" t="s">
        <v>71</v>
      </c>
    </row>
    <row r="24" spans="1:3" x14ac:dyDescent="0.3">
      <c r="A24" s="3" t="s">
        <v>162</v>
      </c>
      <c r="B24" t="s">
        <v>110</v>
      </c>
      <c r="C24" t="s">
        <v>71</v>
      </c>
    </row>
    <row r="25" spans="1:3" x14ac:dyDescent="0.3">
      <c r="A25" s="3" t="s">
        <v>163</v>
      </c>
      <c r="B25" t="s">
        <v>110</v>
      </c>
      <c r="C25" t="s">
        <v>71</v>
      </c>
    </row>
    <row r="26" spans="1:3" x14ac:dyDescent="0.3">
      <c r="A26" s="3" t="s">
        <v>164</v>
      </c>
      <c r="B26" t="s">
        <v>109</v>
      </c>
      <c r="C26" t="s">
        <v>70</v>
      </c>
    </row>
    <row r="27" spans="1:3" x14ac:dyDescent="0.3">
      <c r="A27" s="3" t="s">
        <v>165</v>
      </c>
      <c r="B27" t="s">
        <v>111</v>
      </c>
      <c r="C27" t="s">
        <v>72</v>
      </c>
    </row>
    <row r="28" spans="1:3" x14ac:dyDescent="0.3">
      <c r="A28" s="3" t="s">
        <v>166</v>
      </c>
      <c r="B28" t="s">
        <v>111</v>
      </c>
      <c r="C28" t="s">
        <v>72</v>
      </c>
    </row>
    <row r="29" spans="1:3" x14ac:dyDescent="0.3">
      <c r="A29" s="3" t="s">
        <v>167</v>
      </c>
      <c r="B29" t="s">
        <v>111</v>
      </c>
      <c r="C29" t="s">
        <v>72</v>
      </c>
    </row>
    <row r="30" spans="1:3" x14ac:dyDescent="0.3">
      <c r="A30" s="3" t="s">
        <v>168</v>
      </c>
      <c r="B30" t="s">
        <v>111</v>
      </c>
      <c r="C30" t="s">
        <v>72</v>
      </c>
    </row>
    <row r="31" spans="1:3" x14ac:dyDescent="0.3">
      <c r="A31" s="3" t="s">
        <v>169</v>
      </c>
      <c r="B31" t="s">
        <v>111</v>
      </c>
      <c r="C31" t="s">
        <v>72</v>
      </c>
    </row>
    <row r="32" spans="1:3" x14ac:dyDescent="0.3">
      <c r="A32" s="3" t="s">
        <v>170</v>
      </c>
      <c r="B32" t="s">
        <v>111</v>
      </c>
      <c r="C32" t="s">
        <v>72</v>
      </c>
    </row>
    <row r="33" spans="1:3" x14ac:dyDescent="0.3">
      <c r="A33" s="3" t="s">
        <v>171</v>
      </c>
      <c r="B33" t="s">
        <v>111</v>
      </c>
      <c r="C33" t="s">
        <v>72</v>
      </c>
    </row>
    <row r="34" spans="1:3" x14ac:dyDescent="0.3">
      <c r="A34" s="3" t="s">
        <v>172</v>
      </c>
      <c r="B34" t="s">
        <v>111</v>
      </c>
      <c r="C34" t="s">
        <v>72</v>
      </c>
    </row>
    <row r="35" spans="1:3" x14ac:dyDescent="0.3">
      <c r="A35" s="3" t="s">
        <v>173</v>
      </c>
      <c r="B35" t="s">
        <v>111</v>
      </c>
      <c r="C35" t="s">
        <v>72</v>
      </c>
    </row>
    <row r="36" spans="1:3" x14ac:dyDescent="0.3">
      <c r="A36" s="3" t="s">
        <v>174</v>
      </c>
      <c r="B36" t="s">
        <v>121</v>
      </c>
      <c r="C36" t="s">
        <v>82</v>
      </c>
    </row>
    <row r="37" spans="1:3" x14ac:dyDescent="0.3">
      <c r="A37" s="3" t="s">
        <v>175</v>
      </c>
      <c r="B37" t="s">
        <v>123</v>
      </c>
      <c r="C37" t="s">
        <v>69</v>
      </c>
    </row>
    <row r="38" spans="1:3" x14ac:dyDescent="0.3">
      <c r="A38" s="3" t="s">
        <v>176</v>
      </c>
      <c r="B38" t="s">
        <v>125</v>
      </c>
      <c r="C38" t="s">
        <v>71</v>
      </c>
    </row>
    <row r="39" spans="1:3" x14ac:dyDescent="0.3">
      <c r="A39" s="3" t="s">
        <v>177</v>
      </c>
      <c r="B39" t="s">
        <v>126</v>
      </c>
      <c r="C39" t="s">
        <v>72</v>
      </c>
    </row>
    <row r="40" spans="1:3" x14ac:dyDescent="0.3">
      <c r="A40" s="3" t="s">
        <v>178</v>
      </c>
      <c r="B40" t="s">
        <v>138</v>
      </c>
    </row>
    <row r="41" spans="1:3" x14ac:dyDescent="0.3">
      <c r="A41" s="3" t="s">
        <v>179</v>
      </c>
      <c r="B41" t="s">
        <v>138</v>
      </c>
    </row>
    <row r="42" spans="1:3" x14ac:dyDescent="0.3">
      <c r="A42" s="3" t="s">
        <v>180</v>
      </c>
      <c r="B42" t="s">
        <v>138</v>
      </c>
    </row>
    <row r="43" spans="1:3" x14ac:dyDescent="0.3">
      <c r="A43" s="3" t="s">
        <v>181</v>
      </c>
      <c r="B43" t="s">
        <v>139</v>
      </c>
    </row>
    <row r="44" spans="1:3" x14ac:dyDescent="0.3">
      <c r="A44" s="3" t="s">
        <v>182</v>
      </c>
      <c r="B44" t="s">
        <v>139</v>
      </c>
    </row>
    <row r="45" spans="1:3" x14ac:dyDescent="0.3">
      <c r="A45" s="3" t="s">
        <v>183</v>
      </c>
      <c r="B45" t="s">
        <v>139</v>
      </c>
    </row>
    <row r="46" spans="1:3" x14ac:dyDescent="0.3">
      <c r="A46" s="3" t="s">
        <v>184</v>
      </c>
      <c r="B46" t="s">
        <v>139</v>
      </c>
    </row>
    <row r="47" spans="1:3" x14ac:dyDescent="0.3">
      <c r="A47" s="3" t="s">
        <v>185</v>
      </c>
      <c r="B47" t="s">
        <v>139</v>
      </c>
    </row>
    <row r="48" spans="1:3" x14ac:dyDescent="0.3">
      <c r="A48" s="3" t="s">
        <v>186</v>
      </c>
      <c r="B48" t="s">
        <v>139</v>
      </c>
    </row>
    <row r="49" spans="1:2" x14ac:dyDescent="0.3">
      <c r="A49" s="3" t="s">
        <v>187</v>
      </c>
      <c r="B49" t="s">
        <v>139</v>
      </c>
    </row>
    <row r="50" spans="1:2" x14ac:dyDescent="0.3">
      <c r="A50" s="3" t="s">
        <v>29</v>
      </c>
      <c r="B50" t="s">
        <v>140</v>
      </c>
    </row>
    <row r="51" spans="1:2" x14ac:dyDescent="0.3">
      <c r="A51" s="3" t="s">
        <v>188</v>
      </c>
      <c r="B51" t="s">
        <v>141</v>
      </c>
    </row>
    <row r="52" spans="1:2" x14ac:dyDescent="0.3">
      <c r="A52" s="3" t="s">
        <v>189</v>
      </c>
      <c r="B52" t="s">
        <v>141</v>
      </c>
    </row>
    <row r="53" spans="1:2" x14ac:dyDescent="0.3">
      <c r="A53" s="3" t="s">
        <v>190</v>
      </c>
      <c r="B53" t="s">
        <v>141</v>
      </c>
    </row>
    <row r="54" spans="1:2" x14ac:dyDescent="0.3">
      <c r="A54" s="3" t="s">
        <v>191</v>
      </c>
      <c r="B54" t="s">
        <v>141</v>
      </c>
    </row>
    <row r="55" spans="1:2" x14ac:dyDescent="0.3">
      <c r="A55" s="3" t="s">
        <v>192</v>
      </c>
      <c r="B55" t="s">
        <v>141</v>
      </c>
    </row>
    <row r="56" spans="1:2" x14ac:dyDescent="0.3">
      <c r="A56" s="3" t="s">
        <v>193</v>
      </c>
      <c r="B56" t="s">
        <v>142</v>
      </c>
    </row>
    <row r="57" spans="1:2" x14ac:dyDescent="0.3">
      <c r="A57" s="3" t="s">
        <v>194</v>
      </c>
      <c r="B57" t="s">
        <v>142</v>
      </c>
    </row>
    <row r="58" spans="1:2" x14ac:dyDescent="0.3">
      <c r="A58" s="3" t="s">
        <v>195</v>
      </c>
      <c r="B58" t="s">
        <v>142</v>
      </c>
    </row>
    <row r="59" spans="1:2" x14ac:dyDescent="0.3">
      <c r="A59" s="3" t="s">
        <v>196</v>
      </c>
      <c r="B59" t="s">
        <v>142</v>
      </c>
    </row>
    <row r="60" spans="1:2" x14ac:dyDescent="0.3">
      <c r="A60" s="3" t="s">
        <v>32</v>
      </c>
      <c r="B60" t="s">
        <v>143</v>
      </c>
    </row>
    <row r="61" spans="1:2" x14ac:dyDescent="0.3">
      <c r="A61" s="3" t="s">
        <v>197</v>
      </c>
      <c r="B61" t="s">
        <v>144</v>
      </c>
    </row>
    <row r="62" spans="1:2" x14ac:dyDescent="0.3">
      <c r="A62" s="3" t="s">
        <v>198</v>
      </c>
      <c r="B62" t="s">
        <v>144</v>
      </c>
    </row>
    <row r="63" spans="1:2" x14ac:dyDescent="0.3">
      <c r="A63" s="3" t="s">
        <v>199</v>
      </c>
      <c r="B63" t="s">
        <v>145</v>
      </c>
    </row>
    <row r="64" spans="1:2" x14ac:dyDescent="0.3">
      <c r="A64" s="3" t="s">
        <v>200</v>
      </c>
      <c r="B64" t="s">
        <v>146</v>
      </c>
    </row>
    <row r="65" spans="1:3" x14ac:dyDescent="0.3">
      <c r="A65" s="3" t="s">
        <v>201</v>
      </c>
      <c r="B65" t="s">
        <v>146</v>
      </c>
    </row>
    <row r="66" spans="1:3" x14ac:dyDescent="0.3">
      <c r="A66" s="3" t="s">
        <v>202</v>
      </c>
      <c r="B66" t="s">
        <v>146</v>
      </c>
    </row>
    <row r="67" spans="1:3" x14ac:dyDescent="0.3">
      <c r="A67" s="3" t="s">
        <v>203</v>
      </c>
      <c r="B67" t="s">
        <v>147</v>
      </c>
    </row>
    <row r="68" spans="1:3" x14ac:dyDescent="0.3">
      <c r="A68" s="3" t="s">
        <v>37</v>
      </c>
      <c r="B68" t="s">
        <v>148</v>
      </c>
    </row>
    <row r="69" spans="1:3" x14ac:dyDescent="0.3">
      <c r="A69" s="3" t="s">
        <v>204</v>
      </c>
      <c r="B69" t="s">
        <v>149</v>
      </c>
    </row>
    <row r="70" spans="1:3" x14ac:dyDescent="0.3">
      <c r="A70" s="3" t="s">
        <v>205</v>
      </c>
      <c r="B70" t="s">
        <v>154</v>
      </c>
    </row>
    <row r="71" spans="1:3" x14ac:dyDescent="0.3">
      <c r="A71" s="3" t="s">
        <v>206</v>
      </c>
      <c r="B71" t="s">
        <v>154</v>
      </c>
    </row>
    <row r="72" spans="1:3" x14ac:dyDescent="0.3">
      <c r="A72" s="3" t="s">
        <v>207</v>
      </c>
      <c r="B72" t="s">
        <v>154</v>
      </c>
    </row>
    <row r="73" spans="1:3" x14ac:dyDescent="0.3">
      <c r="A73" s="3" t="s">
        <v>39</v>
      </c>
      <c r="B73" t="s">
        <v>154</v>
      </c>
    </row>
    <row r="74" spans="1:3" x14ac:dyDescent="0.3">
      <c r="A74" s="3" t="s">
        <v>90</v>
      </c>
      <c r="B74" t="s">
        <v>107</v>
      </c>
      <c r="C74" t="s">
        <v>68</v>
      </c>
    </row>
    <row r="75" spans="1:3" x14ac:dyDescent="0.3">
      <c r="A75" s="3" t="s">
        <v>208</v>
      </c>
      <c r="B75" t="s">
        <v>107</v>
      </c>
      <c r="C75" t="s">
        <v>68</v>
      </c>
    </row>
    <row r="76" spans="1:3" x14ac:dyDescent="0.3">
      <c r="A76" s="3" t="s">
        <v>209</v>
      </c>
      <c r="B76" t="s">
        <v>107</v>
      </c>
      <c r="C76" t="s">
        <v>68</v>
      </c>
    </row>
    <row r="77" spans="1:3" x14ac:dyDescent="0.3">
      <c r="A77" s="3" t="s">
        <v>210</v>
      </c>
      <c r="B77" t="s">
        <v>107</v>
      </c>
      <c r="C77" t="s">
        <v>68</v>
      </c>
    </row>
    <row r="78" spans="1:3" x14ac:dyDescent="0.3">
      <c r="A78" s="3" t="s">
        <v>211</v>
      </c>
      <c r="B78" t="s">
        <v>107</v>
      </c>
      <c r="C78" t="s">
        <v>68</v>
      </c>
    </row>
    <row r="79" spans="1:3" x14ac:dyDescent="0.3">
      <c r="A79" s="3" t="s">
        <v>212</v>
      </c>
      <c r="B79" t="s">
        <v>107</v>
      </c>
      <c r="C79" t="s">
        <v>68</v>
      </c>
    </row>
    <row r="80" spans="1:3" x14ac:dyDescent="0.3">
      <c r="A80" s="3" t="s">
        <v>96</v>
      </c>
      <c r="B80" t="s">
        <v>107</v>
      </c>
      <c r="C80" t="s">
        <v>68</v>
      </c>
    </row>
    <row r="81" spans="1:3" x14ac:dyDescent="0.3">
      <c r="A81" s="3" t="s">
        <v>97</v>
      </c>
      <c r="B81" t="s">
        <v>107</v>
      </c>
      <c r="C81" t="s">
        <v>68</v>
      </c>
    </row>
    <row r="82" spans="1:3" x14ac:dyDescent="0.3">
      <c r="A82" s="3" t="s">
        <v>98</v>
      </c>
      <c r="B82" t="s">
        <v>107</v>
      </c>
      <c r="C82" t="s">
        <v>68</v>
      </c>
    </row>
    <row r="83" spans="1:3" x14ac:dyDescent="0.3">
      <c r="A83" s="3" t="s">
        <v>99</v>
      </c>
      <c r="B83" t="s">
        <v>107</v>
      </c>
      <c r="C83" t="s">
        <v>68</v>
      </c>
    </row>
    <row r="84" spans="1:3" x14ac:dyDescent="0.3">
      <c r="A84" s="3" t="s">
        <v>100</v>
      </c>
      <c r="B84" t="s">
        <v>107</v>
      </c>
      <c r="C84" t="s">
        <v>68</v>
      </c>
    </row>
    <row r="85" spans="1:3" x14ac:dyDescent="0.3">
      <c r="A85" s="3" t="s">
        <v>101</v>
      </c>
      <c r="B85" t="s">
        <v>107</v>
      </c>
      <c r="C85" t="s">
        <v>68</v>
      </c>
    </row>
    <row r="86" spans="1:3" x14ac:dyDescent="0.3">
      <c r="A86" s="3" t="s">
        <v>102</v>
      </c>
      <c r="B86" t="s">
        <v>108</v>
      </c>
      <c r="C86" t="s">
        <v>69</v>
      </c>
    </row>
    <row r="87" spans="1:3" x14ac:dyDescent="0.3">
      <c r="A87" s="3" t="s">
        <v>103</v>
      </c>
      <c r="B87" t="s">
        <v>108</v>
      </c>
      <c r="C87" t="s">
        <v>69</v>
      </c>
    </row>
    <row r="88" spans="1:3" x14ac:dyDescent="0.3">
      <c r="A88" s="3" t="s">
        <v>213</v>
      </c>
      <c r="B88" t="s">
        <v>108</v>
      </c>
      <c r="C88" t="s">
        <v>69</v>
      </c>
    </row>
    <row r="89" spans="1:3" x14ac:dyDescent="0.3">
      <c r="A89" s="3" t="s">
        <v>214</v>
      </c>
      <c r="B89" t="s">
        <v>109</v>
      </c>
      <c r="C89" t="s">
        <v>70</v>
      </c>
    </row>
    <row r="90" spans="1:3" x14ac:dyDescent="0.3">
      <c r="A90" s="3" t="s">
        <v>215</v>
      </c>
      <c r="B90" t="s">
        <v>109</v>
      </c>
      <c r="C90" t="s">
        <v>70</v>
      </c>
    </row>
    <row r="91" spans="1:3" x14ac:dyDescent="0.3">
      <c r="A91" s="3" t="s">
        <v>216</v>
      </c>
      <c r="B91" t="s">
        <v>109</v>
      </c>
      <c r="C91" t="s">
        <v>70</v>
      </c>
    </row>
    <row r="92" spans="1:3" x14ac:dyDescent="0.3">
      <c r="A92" s="3" t="s">
        <v>217</v>
      </c>
      <c r="B92" t="s">
        <v>109</v>
      </c>
      <c r="C92" t="s">
        <v>70</v>
      </c>
    </row>
    <row r="93" spans="1:3" x14ac:dyDescent="0.3">
      <c r="A93" s="3" t="s">
        <v>218</v>
      </c>
      <c r="B93" t="s">
        <v>109</v>
      </c>
      <c r="C93" t="s">
        <v>70</v>
      </c>
    </row>
    <row r="94" spans="1:3" x14ac:dyDescent="0.3">
      <c r="A94" s="3" t="s">
        <v>219</v>
      </c>
      <c r="B94" t="s">
        <v>109</v>
      </c>
      <c r="C94" t="s">
        <v>70</v>
      </c>
    </row>
    <row r="95" spans="1:3" x14ac:dyDescent="0.3">
      <c r="A95" s="3" t="s">
        <v>220</v>
      </c>
      <c r="B95" t="s">
        <v>109</v>
      </c>
      <c r="C95" t="s">
        <v>70</v>
      </c>
    </row>
    <row r="96" spans="1:3" x14ac:dyDescent="0.3">
      <c r="A96" s="3" t="s">
        <v>164</v>
      </c>
      <c r="B96" t="s">
        <v>109</v>
      </c>
      <c r="C96" t="s">
        <v>70</v>
      </c>
    </row>
    <row r="97" spans="1:3" x14ac:dyDescent="0.3">
      <c r="A97" s="3" t="s">
        <v>221</v>
      </c>
      <c r="B97" t="s">
        <v>110</v>
      </c>
      <c r="C97" t="s">
        <v>71</v>
      </c>
    </row>
    <row r="98" spans="1:3" x14ac:dyDescent="0.3">
      <c r="A98" s="3" t="s">
        <v>163</v>
      </c>
      <c r="B98" t="s">
        <v>110</v>
      </c>
      <c r="C98" t="s">
        <v>71</v>
      </c>
    </row>
    <row r="99" spans="1:3" x14ac:dyDescent="0.3">
      <c r="A99" s="3" t="s">
        <v>222</v>
      </c>
      <c r="B99" t="s">
        <v>111</v>
      </c>
      <c r="C99" t="s">
        <v>72</v>
      </c>
    </row>
    <row r="100" spans="1:3" x14ac:dyDescent="0.3">
      <c r="A100" s="3" t="s">
        <v>223</v>
      </c>
      <c r="B100" t="s">
        <v>111</v>
      </c>
      <c r="C100" t="s">
        <v>72</v>
      </c>
    </row>
    <row r="101" spans="1:3" x14ac:dyDescent="0.3">
      <c r="A101" s="3" t="s">
        <v>224</v>
      </c>
      <c r="B101" t="s">
        <v>111</v>
      </c>
      <c r="C101" t="s">
        <v>72</v>
      </c>
    </row>
    <row r="102" spans="1:3" x14ac:dyDescent="0.3">
      <c r="A102" s="3" t="s">
        <v>169</v>
      </c>
      <c r="B102" t="s">
        <v>111</v>
      </c>
      <c r="C102" t="s">
        <v>72</v>
      </c>
    </row>
    <row r="103" spans="1:3" x14ac:dyDescent="0.3">
      <c r="A103" s="3" t="s">
        <v>170</v>
      </c>
      <c r="B103" t="s">
        <v>111</v>
      </c>
      <c r="C103" t="s">
        <v>72</v>
      </c>
    </row>
    <row r="104" spans="1:3" x14ac:dyDescent="0.3">
      <c r="A104" s="3" t="s">
        <v>171</v>
      </c>
      <c r="B104" t="s">
        <v>111</v>
      </c>
      <c r="C104" t="s">
        <v>72</v>
      </c>
    </row>
    <row r="105" spans="1:3" x14ac:dyDescent="0.3">
      <c r="A105" s="3" t="s">
        <v>172</v>
      </c>
      <c r="B105" t="s">
        <v>111</v>
      </c>
      <c r="C105" t="s">
        <v>72</v>
      </c>
    </row>
    <row r="106" spans="1:3" x14ac:dyDescent="0.3">
      <c r="A106" s="3" t="s">
        <v>173</v>
      </c>
      <c r="B106" t="s">
        <v>111</v>
      </c>
      <c r="C106" t="s">
        <v>72</v>
      </c>
    </row>
    <row r="107" spans="1:3" x14ac:dyDescent="0.3">
      <c r="A107" s="3" t="s">
        <v>225</v>
      </c>
      <c r="B107" t="s">
        <v>112</v>
      </c>
      <c r="C107" t="s">
        <v>73</v>
      </c>
    </row>
    <row r="108" spans="1:3" x14ac:dyDescent="0.3">
      <c r="A108" s="3" t="s">
        <v>226</v>
      </c>
      <c r="B108" t="s">
        <v>113</v>
      </c>
      <c r="C108" t="s">
        <v>74</v>
      </c>
    </row>
    <row r="109" spans="1:3" x14ac:dyDescent="0.3">
      <c r="A109" s="3" t="s">
        <v>227</v>
      </c>
      <c r="B109" t="s">
        <v>113</v>
      </c>
      <c r="C109" t="s">
        <v>74</v>
      </c>
    </row>
    <row r="110" spans="1:3" x14ac:dyDescent="0.3">
      <c r="A110" s="3" t="s">
        <v>228</v>
      </c>
      <c r="B110" t="s">
        <v>113</v>
      </c>
      <c r="C110" t="s">
        <v>74</v>
      </c>
    </row>
    <row r="111" spans="1:3" x14ac:dyDescent="0.3">
      <c r="A111" s="3" t="s">
        <v>229</v>
      </c>
      <c r="B111" t="s">
        <v>121</v>
      </c>
      <c r="C111" t="s">
        <v>82</v>
      </c>
    </row>
    <row r="112" spans="1:3" x14ac:dyDescent="0.3">
      <c r="A112" s="3" t="s">
        <v>230</v>
      </c>
      <c r="B112" t="s">
        <v>121</v>
      </c>
      <c r="C112" t="s">
        <v>82</v>
      </c>
    </row>
    <row r="113" spans="1:3" x14ac:dyDescent="0.3">
      <c r="A113" s="3" t="s">
        <v>231</v>
      </c>
      <c r="B113" t="s">
        <v>121</v>
      </c>
      <c r="C113" t="s">
        <v>82</v>
      </c>
    </row>
    <row r="114" spans="1:3" x14ac:dyDescent="0.3">
      <c r="A114" s="3" t="s">
        <v>232</v>
      </c>
      <c r="B114" t="s">
        <v>126</v>
      </c>
      <c r="C114" t="s">
        <v>72</v>
      </c>
    </row>
    <row r="115" spans="1:3" x14ac:dyDescent="0.3">
      <c r="A115" s="3" t="s">
        <v>233</v>
      </c>
      <c r="B115" t="s">
        <v>125</v>
      </c>
      <c r="C115" t="s">
        <v>71</v>
      </c>
    </row>
    <row r="116" spans="1:3" x14ac:dyDescent="0.3">
      <c r="A116" s="3" t="s">
        <v>234</v>
      </c>
      <c r="B116" t="s">
        <v>126</v>
      </c>
      <c r="C116" t="s">
        <v>72</v>
      </c>
    </row>
    <row r="117" spans="1:3" x14ac:dyDescent="0.3">
      <c r="A117" s="3" t="s">
        <v>235</v>
      </c>
      <c r="B117" t="s">
        <v>138</v>
      </c>
    </row>
    <row r="118" spans="1:3" x14ac:dyDescent="0.3">
      <c r="A118" s="3" t="s">
        <v>236</v>
      </c>
      <c r="B118" t="s">
        <v>138</v>
      </c>
    </row>
    <row r="119" spans="1:3" x14ac:dyDescent="0.3">
      <c r="A119" s="3" t="s">
        <v>179</v>
      </c>
      <c r="B119" t="s">
        <v>138</v>
      </c>
    </row>
    <row r="120" spans="1:3" x14ac:dyDescent="0.3">
      <c r="A120" s="3" t="s">
        <v>237</v>
      </c>
      <c r="B120" t="s">
        <v>138</v>
      </c>
    </row>
    <row r="121" spans="1:3" x14ac:dyDescent="0.3">
      <c r="A121" s="3" t="s">
        <v>238</v>
      </c>
      <c r="B121" t="s">
        <v>138</v>
      </c>
    </row>
    <row r="122" spans="1:3" x14ac:dyDescent="0.3">
      <c r="A122" s="3" t="s">
        <v>239</v>
      </c>
      <c r="B122" t="s">
        <v>138</v>
      </c>
    </row>
    <row r="123" spans="1:3" x14ac:dyDescent="0.3">
      <c r="A123" s="3" t="s">
        <v>240</v>
      </c>
      <c r="B123" t="s">
        <v>138</v>
      </c>
    </row>
    <row r="124" spans="1:3" x14ac:dyDescent="0.3">
      <c r="A124" s="3" t="s">
        <v>241</v>
      </c>
      <c r="B124" t="s">
        <v>139</v>
      </c>
    </row>
    <row r="125" spans="1:3" x14ac:dyDescent="0.3">
      <c r="A125" s="3" t="s">
        <v>242</v>
      </c>
      <c r="B125" t="s">
        <v>139</v>
      </c>
    </row>
    <row r="126" spans="1:3" x14ac:dyDescent="0.3">
      <c r="A126" s="3" t="s">
        <v>243</v>
      </c>
      <c r="B126" t="s">
        <v>139</v>
      </c>
    </row>
    <row r="127" spans="1:3" x14ac:dyDescent="0.3">
      <c r="A127" s="3" t="s">
        <v>186</v>
      </c>
      <c r="B127" t="s">
        <v>139</v>
      </c>
    </row>
    <row r="128" spans="1:3" x14ac:dyDescent="0.3">
      <c r="A128" s="3" t="s">
        <v>244</v>
      </c>
      <c r="B128" t="s">
        <v>139</v>
      </c>
    </row>
    <row r="129" spans="1:2" x14ac:dyDescent="0.3">
      <c r="A129" s="3" t="s">
        <v>245</v>
      </c>
      <c r="B129" t="s">
        <v>139</v>
      </c>
    </row>
    <row r="130" spans="1:2" x14ac:dyDescent="0.3">
      <c r="A130" s="3" t="s">
        <v>232</v>
      </c>
      <c r="B130" t="s">
        <v>139</v>
      </c>
    </row>
    <row r="131" spans="1:2" x14ac:dyDescent="0.3">
      <c r="A131" s="3" t="s">
        <v>246</v>
      </c>
      <c r="B131" t="s">
        <v>139</v>
      </c>
    </row>
    <row r="132" spans="1:2" x14ac:dyDescent="0.3">
      <c r="A132" s="3" t="s">
        <v>247</v>
      </c>
      <c r="B132" t="s">
        <v>139</v>
      </c>
    </row>
    <row r="133" spans="1:2" x14ac:dyDescent="0.3">
      <c r="A133" s="3" t="s">
        <v>248</v>
      </c>
      <c r="B133" t="s">
        <v>139</v>
      </c>
    </row>
    <row r="134" spans="1:2" x14ac:dyDescent="0.3">
      <c r="A134" s="3" t="s">
        <v>249</v>
      </c>
      <c r="B134" t="s">
        <v>139</v>
      </c>
    </row>
    <row r="135" spans="1:2" x14ac:dyDescent="0.3">
      <c r="A135" s="3" t="s">
        <v>250</v>
      </c>
      <c r="B135" t="s">
        <v>139</v>
      </c>
    </row>
    <row r="136" spans="1:2" x14ac:dyDescent="0.3">
      <c r="A136" s="3" t="s">
        <v>251</v>
      </c>
      <c r="B136" t="s">
        <v>139</v>
      </c>
    </row>
    <row r="137" spans="1:2" x14ac:dyDescent="0.3">
      <c r="A137" s="3" t="s">
        <v>29</v>
      </c>
      <c r="B137" t="s">
        <v>140</v>
      </c>
    </row>
    <row r="138" spans="1:2" x14ac:dyDescent="0.3">
      <c r="A138" s="3" t="s">
        <v>252</v>
      </c>
      <c r="B138" t="s">
        <v>140</v>
      </c>
    </row>
    <row r="139" spans="1:2" x14ac:dyDescent="0.3">
      <c r="A139" s="3" t="s">
        <v>253</v>
      </c>
      <c r="B139" t="s">
        <v>140</v>
      </c>
    </row>
    <row r="140" spans="1:2" x14ac:dyDescent="0.3">
      <c r="A140" s="3" t="s">
        <v>254</v>
      </c>
      <c r="B140" t="s">
        <v>140</v>
      </c>
    </row>
    <row r="141" spans="1:2" x14ac:dyDescent="0.3">
      <c r="A141" s="3" t="s">
        <v>255</v>
      </c>
      <c r="B141" t="s">
        <v>141</v>
      </c>
    </row>
    <row r="142" spans="1:2" x14ac:dyDescent="0.3">
      <c r="A142" s="3" t="s">
        <v>256</v>
      </c>
      <c r="B142" t="s">
        <v>141</v>
      </c>
    </row>
    <row r="143" spans="1:2" x14ac:dyDescent="0.3">
      <c r="A143" s="3" t="s">
        <v>257</v>
      </c>
      <c r="B143" t="s">
        <v>141</v>
      </c>
    </row>
    <row r="144" spans="1:2" x14ac:dyDescent="0.3">
      <c r="A144" s="3" t="s">
        <v>258</v>
      </c>
      <c r="B144" t="s">
        <v>141</v>
      </c>
    </row>
    <row r="145" spans="1:2" x14ac:dyDescent="0.3">
      <c r="A145" s="3" t="s">
        <v>259</v>
      </c>
      <c r="B145" t="s">
        <v>141</v>
      </c>
    </row>
    <row r="146" spans="1:2" x14ac:dyDescent="0.3">
      <c r="A146" s="3" t="s">
        <v>260</v>
      </c>
      <c r="B146" t="s">
        <v>141</v>
      </c>
    </row>
    <row r="147" spans="1:2" x14ac:dyDescent="0.3">
      <c r="A147" s="3" t="s">
        <v>261</v>
      </c>
      <c r="B147" t="s">
        <v>141</v>
      </c>
    </row>
    <row r="148" spans="1:2" x14ac:dyDescent="0.3">
      <c r="A148" s="3" t="s">
        <v>262</v>
      </c>
      <c r="B148" t="s">
        <v>141</v>
      </c>
    </row>
    <row r="149" spans="1:2" x14ac:dyDescent="0.3">
      <c r="A149" s="3" t="s">
        <v>263</v>
      </c>
      <c r="B149" t="s">
        <v>141</v>
      </c>
    </row>
    <row r="150" spans="1:2" x14ac:dyDescent="0.3">
      <c r="A150" s="3" t="s">
        <v>264</v>
      </c>
      <c r="B150" t="s">
        <v>142</v>
      </c>
    </row>
    <row r="151" spans="1:2" x14ac:dyDescent="0.3">
      <c r="A151" s="3" t="s">
        <v>265</v>
      </c>
      <c r="B151" t="s">
        <v>142</v>
      </c>
    </row>
    <row r="152" spans="1:2" x14ac:dyDescent="0.3">
      <c r="A152" s="3" t="s">
        <v>266</v>
      </c>
      <c r="B152" t="s">
        <v>142</v>
      </c>
    </row>
    <row r="153" spans="1:2" x14ac:dyDescent="0.3">
      <c r="A153" s="3" t="s">
        <v>267</v>
      </c>
      <c r="B153" t="s">
        <v>142</v>
      </c>
    </row>
    <row r="154" spans="1:2" x14ac:dyDescent="0.3">
      <c r="A154" s="3" t="s">
        <v>268</v>
      </c>
      <c r="B154" t="s">
        <v>142</v>
      </c>
    </row>
    <row r="155" spans="1:2" x14ac:dyDescent="0.3">
      <c r="A155" s="3" t="s">
        <v>269</v>
      </c>
      <c r="B155" t="s">
        <v>142</v>
      </c>
    </row>
    <row r="156" spans="1:2" x14ac:dyDescent="0.3">
      <c r="A156" s="3" t="s">
        <v>270</v>
      </c>
      <c r="B156" t="s">
        <v>144</v>
      </c>
    </row>
    <row r="157" spans="1:2" x14ac:dyDescent="0.3">
      <c r="A157" s="3" t="s">
        <v>271</v>
      </c>
      <c r="B157" t="s">
        <v>144</v>
      </c>
    </row>
    <row r="158" spans="1:2" x14ac:dyDescent="0.3">
      <c r="A158" s="3" t="s">
        <v>198</v>
      </c>
      <c r="B158" t="s">
        <v>144</v>
      </c>
    </row>
    <row r="159" spans="1:2" x14ac:dyDescent="0.3">
      <c r="A159" s="3" t="s">
        <v>272</v>
      </c>
      <c r="B159" t="s">
        <v>145</v>
      </c>
    </row>
    <row r="160" spans="1:2" x14ac:dyDescent="0.3">
      <c r="A160" s="3" t="s">
        <v>273</v>
      </c>
      <c r="B160" t="s">
        <v>145</v>
      </c>
    </row>
    <row r="161" spans="1:2" x14ac:dyDescent="0.3">
      <c r="A161" s="3" t="s">
        <v>274</v>
      </c>
      <c r="B161" t="s">
        <v>146</v>
      </c>
    </row>
    <row r="162" spans="1:2" x14ac:dyDescent="0.3">
      <c r="A162" s="3" t="s">
        <v>201</v>
      </c>
      <c r="B162" t="s">
        <v>146</v>
      </c>
    </row>
    <row r="163" spans="1:2" x14ac:dyDescent="0.3">
      <c r="A163" s="3" t="s">
        <v>202</v>
      </c>
      <c r="B163" t="s">
        <v>146</v>
      </c>
    </row>
    <row r="164" spans="1:2" x14ac:dyDescent="0.3">
      <c r="A164" s="3" t="s">
        <v>275</v>
      </c>
      <c r="B164" t="s">
        <v>147</v>
      </c>
    </row>
    <row r="165" spans="1:2" x14ac:dyDescent="0.3">
      <c r="A165" s="3" t="s">
        <v>276</v>
      </c>
      <c r="B165" t="s">
        <v>147</v>
      </c>
    </row>
    <row r="166" spans="1:2" x14ac:dyDescent="0.3">
      <c r="A166" s="3" t="s">
        <v>277</v>
      </c>
      <c r="B166" t="s">
        <v>147</v>
      </c>
    </row>
    <row r="167" spans="1:2" x14ac:dyDescent="0.3">
      <c r="A167" s="3" t="s">
        <v>278</v>
      </c>
      <c r="B167" t="s">
        <v>147</v>
      </c>
    </row>
    <row r="168" spans="1:2" x14ac:dyDescent="0.3">
      <c r="A168" s="3" t="s">
        <v>279</v>
      </c>
      <c r="B168" t="s">
        <v>148</v>
      </c>
    </row>
    <row r="169" spans="1:2" x14ac:dyDescent="0.3">
      <c r="A169" s="3" t="s">
        <v>280</v>
      </c>
      <c r="B169" t="s">
        <v>148</v>
      </c>
    </row>
    <row r="170" spans="1:2" x14ac:dyDescent="0.3">
      <c r="A170" s="3" t="s">
        <v>281</v>
      </c>
      <c r="B170" t="s">
        <v>149</v>
      </c>
    </row>
    <row r="171" spans="1:2" x14ac:dyDescent="0.3">
      <c r="A171" s="3" t="s">
        <v>282</v>
      </c>
      <c r="B171" t="s">
        <v>149</v>
      </c>
    </row>
    <row r="172" spans="1:2" x14ac:dyDescent="0.3">
      <c r="A172" s="3" t="s">
        <v>186</v>
      </c>
      <c r="B172" t="s">
        <v>139</v>
      </c>
    </row>
    <row r="173" spans="1:2" x14ac:dyDescent="0.3">
      <c r="A173" s="3" t="s">
        <v>283</v>
      </c>
      <c r="B173" t="s">
        <v>142</v>
      </c>
    </row>
    <row r="174" spans="1:2" x14ac:dyDescent="0.3">
      <c r="A174" s="3" t="s">
        <v>284</v>
      </c>
      <c r="B174" t="s">
        <v>139</v>
      </c>
    </row>
    <row r="175" spans="1:2" x14ac:dyDescent="0.3">
      <c r="A175" s="3" t="s">
        <v>257</v>
      </c>
      <c r="B175" t="s">
        <v>141</v>
      </c>
    </row>
    <row r="176" spans="1:2" x14ac:dyDescent="0.3">
      <c r="A176" s="3" t="s">
        <v>285</v>
      </c>
      <c r="B176" t="s">
        <v>139</v>
      </c>
    </row>
    <row r="177" spans="1:2" x14ac:dyDescent="0.3">
      <c r="A177" s="3" t="s">
        <v>255</v>
      </c>
      <c r="B177" t="s">
        <v>141</v>
      </c>
    </row>
    <row r="178" spans="1:2" x14ac:dyDescent="0.3">
      <c r="A178" s="3" t="s">
        <v>286</v>
      </c>
      <c r="B178" t="s">
        <v>139</v>
      </c>
    </row>
    <row r="179" spans="1:2" x14ac:dyDescent="0.3">
      <c r="A179" s="3" t="s">
        <v>287</v>
      </c>
      <c r="B179" t="s">
        <v>139</v>
      </c>
    </row>
    <row r="180" spans="1:2" x14ac:dyDescent="0.3">
      <c r="A180" s="3" t="s">
        <v>197</v>
      </c>
      <c r="B180" t="s">
        <v>144</v>
      </c>
    </row>
    <row r="181" spans="1:2" x14ac:dyDescent="0.3">
      <c r="A181" s="3" t="s">
        <v>288</v>
      </c>
      <c r="B181" t="s">
        <v>139</v>
      </c>
    </row>
    <row r="182" spans="1:2" x14ac:dyDescent="0.3">
      <c r="A182" s="3" t="s">
        <v>289</v>
      </c>
      <c r="B182" t="s">
        <v>139</v>
      </c>
    </row>
    <row r="183" spans="1:2" x14ac:dyDescent="0.3">
      <c r="A183" s="3" t="s">
        <v>281</v>
      </c>
      <c r="B183" t="s">
        <v>149</v>
      </c>
    </row>
    <row r="184" spans="1:2" x14ac:dyDescent="0.3">
      <c r="A184" s="3" t="s">
        <v>39</v>
      </c>
      <c r="B184" t="s">
        <v>154</v>
      </c>
    </row>
    <row r="185" spans="1:2" x14ac:dyDescent="0.3">
      <c r="A185" s="3" t="s">
        <v>39</v>
      </c>
      <c r="B185" t="s">
        <v>154</v>
      </c>
    </row>
    <row r="186" spans="1:2" x14ac:dyDescent="0.3">
      <c r="A186" s="3" t="s">
        <v>284</v>
      </c>
      <c r="B186" t="s">
        <v>154</v>
      </c>
    </row>
    <row r="187" spans="1:2" x14ac:dyDescent="0.3">
      <c r="A187" s="3" t="s">
        <v>290</v>
      </c>
      <c r="B187" t="s">
        <v>154</v>
      </c>
    </row>
    <row r="188" spans="1:2" x14ac:dyDescent="0.3">
      <c r="A188" s="3" t="s">
        <v>291</v>
      </c>
      <c r="B188" t="s">
        <v>154</v>
      </c>
    </row>
    <row r="189" spans="1:2" x14ac:dyDescent="0.3">
      <c r="A189" s="3" t="s">
        <v>292</v>
      </c>
      <c r="B189" t="s">
        <v>154</v>
      </c>
    </row>
    <row r="190" spans="1:2" x14ac:dyDescent="0.3">
      <c r="A190" s="3" t="s">
        <v>293</v>
      </c>
      <c r="B190" t="s">
        <v>154</v>
      </c>
    </row>
    <row r="191" spans="1:2" x14ac:dyDescent="0.3">
      <c r="A191" s="3" t="s">
        <v>294</v>
      </c>
      <c r="B191" t="s">
        <v>107</v>
      </c>
    </row>
    <row r="192" spans="1:2" x14ac:dyDescent="0.3">
      <c r="A192" s="3" t="s">
        <v>95</v>
      </c>
      <c r="B192" t="s">
        <v>107</v>
      </c>
    </row>
    <row r="193" spans="1:3" x14ac:dyDescent="0.3">
      <c r="A193" s="3" t="s">
        <v>295</v>
      </c>
      <c r="B193" t="s">
        <v>107</v>
      </c>
    </row>
    <row r="194" spans="1:3" x14ac:dyDescent="0.3">
      <c r="A194" s="3" t="s">
        <v>296</v>
      </c>
      <c r="B194" t="s">
        <v>108</v>
      </c>
    </row>
    <row r="195" spans="1:3" x14ac:dyDescent="0.3">
      <c r="A195" s="3" t="s">
        <v>155</v>
      </c>
      <c r="B195" t="s">
        <v>109</v>
      </c>
    </row>
    <row r="196" spans="1:3" x14ac:dyDescent="0.3">
      <c r="A196" s="3" t="s">
        <v>297</v>
      </c>
      <c r="B196" t="s">
        <v>109</v>
      </c>
    </row>
    <row r="197" spans="1:3" x14ac:dyDescent="0.3">
      <c r="A197" s="3" t="s">
        <v>298</v>
      </c>
      <c r="B197" t="s">
        <v>110</v>
      </c>
    </row>
    <row r="198" spans="1:3" x14ac:dyDescent="0.3">
      <c r="A198" s="3" t="s">
        <v>158</v>
      </c>
      <c r="B198" t="s">
        <v>110</v>
      </c>
    </row>
    <row r="199" spans="1:3" x14ac:dyDescent="0.3">
      <c r="A199" s="3" t="s">
        <v>159</v>
      </c>
      <c r="B199" t="s">
        <v>110</v>
      </c>
    </row>
    <row r="200" spans="1:3" x14ac:dyDescent="0.3">
      <c r="A200" s="3" t="s">
        <v>160</v>
      </c>
      <c r="B200" t="s">
        <v>110</v>
      </c>
    </row>
    <row r="201" spans="1:3" x14ac:dyDescent="0.3">
      <c r="A201" s="3" t="s">
        <v>161</v>
      </c>
      <c r="B201" t="s">
        <v>110</v>
      </c>
    </row>
    <row r="202" spans="1:3" x14ac:dyDescent="0.3">
      <c r="A202" s="3" t="s">
        <v>162</v>
      </c>
      <c r="B202" t="s">
        <v>110</v>
      </c>
    </row>
    <row r="203" spans="1:3" x14ac:dyDescent="0.3">
      <c r="A203" s="3" t="s">
        <v>299</v>
      </c>
      <c r="B203" t="s">
        <v>111</v>
      </c>
    </row>
    <row r="204" spans="1:3" x14ac:dyDescent="0.3">
      <c r="A204" s="3" t="s">
        <v>300</v>
      </c>
      <c r="B204" t="s">
        <v>111</v>
      </c>
    </row>
    <row r="205" spans="1:3" x14ac:dyDescent="0.3">
      <c r="A205" s="3" t="s">
        <v>301</v>
      </c>
      <c r="B205" t="s">
        <v>121</v>
      </c>
    </row>
    <row r="206" spans="1:3" x14ac:dyDescent="0.3">
      <c r="A206" s="3" t="s">
        <v>302</v>
      </c>
      <c r="B206" t="s">
        <v>138</v>
      </c>
      <c r="C206" t="s">
        <v>72</v>
      </c>
    </row>
    <row r="207" spans="1:3" x14ac:dyDescent="0.3">
      <c r="A207" s="3" t="s">
        <v>303</v>
      </c>
      <c r="B207" t="s">
        <v>126</v>
      </c>
      <c r="C207" t="s">
        <v>72</v>
      </c>
    </row>
    <row r="208" spans="1:3" x14ac:dyDescent="0.3">
      <c r="A208" s="3" t="s">
        <v>27</v>
      </c>
      <c r="B208" t="s">
        <v>138</v>
      </c>
    </row>
    <row r="209" spans="1:2" x14ac:dyDescent="0.3">
      <c r="A209" s="3" t="s">
        <v>298</v>
      </c>
      <c r="B209" t="s">
        <v>125</v>
      </c>
    </row>
    <row r="210" spans="1:2" x14ac:dyDescent="0.3">
      <c r="A210" s="3" t="s">
        <v>304</v>
      </c>
      <c r="B210" t="s">
        <v>139</v>
      </c>
    </row>
    <row r="211" spans="1:2" x14ac:dyDescent="0.3">
      <c r="A211" s="3" t="s">
        <v>305</v>
      </c>
      <c r="B211" t="s">
        <v>139</v>
      </c>
    </row>
    <row r="212" spans="1:2" x14ac:dyDescent="0.3">
      <c r="A212" s="3" t="s">
        <v>306</v>
      </c>
      <c r="B212" t="s">
        <v>139</v>
      </c>
    </row>
    <row r="213" spans="1:2" x14ac:dyDescent="0.3">
      <c r="A213" s="3" t="s">
        <v>307</v>
      </c>
      <c r="B213" t="s">
        <v>139</v>
      </c>
    </row>
    <row r="214" spans="1:2" x14ac:dyDescent="0.3">
      <c r="A214" s="3" t="s">
        <v>308</v>
      </c>
      <c r="B214" t="s">
        <v>139</v>
      </c>
    </row>
    <row r="215" spans="1:2" x14ac:dyDescent="0.3">
      <c r="A215" s="3" t="s">
        <v>309</v>
      </c>
      <c r="B215" t="s">
        <v>139</v>
      </c>
    </row>
    <row r="216" spans="1:2" x14ac:dyDescent="0.3">
      <c r="A216" s="3" t="s">
        <v>310</v>
      </c>
      <c r="B216" t="s">
        <v>139</v>
      </c>
    </row>
    <row r="217" spans="1:2" x14ac:dyDescent="0.3">
      <c r="A217" s="3" t="s">
        <v>311</v>
      </c>
      <c r="B217" t="s">
        <v>140</v>
      </c>
    </row>
    <row r="218" spans="1:2" x14ac:dyDescent="0.3">
      <c r="A218" s="3" t="s">
        <v>312</v>
      </c>
      <c r="B218" t="s">
        <v>141</v>
      </c>
    </row>
    <row r="219" spans="1:2" x14ac:dyDescent="0.3">
      <c r="A219" s="3" t="s">
        <v>31</v>
      </c>
      <c r="B219" t="s">
        <v>142</v>
      </c>
    </row>
    <row r="220" spans="1:2" x14ac:dyDescent="0.3">
      <c r="A220" s="3" t="s">
        <v>266</v>
      </c>
      <c r="B220" t="s">
        <v>142</v>
      </c>
    </row>
    <row r="221" spans="1:2" x14ac:dyDescent="0.3">
      <c r="A221" s="3" t="s">
        <v>313</v>
      </c>
      <c r="B221" t="s">
        <v>145</v>
      </c>
    </row>
    <row r="222" spans="1:2" x14ac:dyDescent="0.3">
      <c r="A222" s="3" t="s">
        <v>314</v>
      </c>
      <c r="B222" t="s">
        <v>146</v>
      </c>
    </row>
    <row r="223" spans="1:2" x14ac:dyDescent="0.3">
      <c r="A223" s="3" t="s">
        <v>274</v>
      </c>
      <c r="B223" t="s">
        <v>146</v>
      </c>
    </row>
    <row r="224" spans="1:2" x14ac:dyDescent="0.3">
      <c r="A224" s="3" t="s">
        <v>36</v>
      </c>
      <c r="B224" t="s">
        <v>147</v>
      </c>
    </row>
    <row r="225" spans="1:2" x14ac:dyDescent="0.3">
      <c r="A225" s="3" t="s">
        <v>315</v>
      </c>
      <c r="B225" t="s">
        <v>148</v>
      </c>
    </row>
    <row r="226" spans="1:2" x14ac:dyDescent="0.3">
      <c r="A226" s="3" t="s">
        <v>316</v>
      </c>
      <c r="B226" t="s">
        <v>149</v>
      </c>
    </row>
    <row r="227" spans="1:2" x14ac:dyDescent="0.3">
      <c r="A227" s="3" t="s">
        <v>317</v>
      </c>
      <c r="B227" t="s">
        <v>154</v>
      </c>
    </row>
    <row r="228" spans="1:2" x14ac:dyDescent="0.3">
      <c r="A228" s="3" t="s">
        <v>318</v>
      </c>
      <c r="B228" t="s">
        <v>154</v>
      </c>
    </row>
    <row r="229" spans="1:2" x14ac:dyDescent="0.3">
      <c r="A229" s="3" t="s">
        <v>319</v>
      </c>
      <c r="B229" t="s">
        <v>107</v>
      </c>
    </row>
    <row r="230" spans="1:2" x14ac:dyDescent="0.3">
      <c r="A230" s="3" t="s">
        <v>320</v>
      </c>
      <c r="B230" t="s">
        <v>107</v>
      </c>
    </row>
    <row r="231" spans="1:2" x14ac:dyDescent="0.3">
      <c r="A231" s="3" t="s">
        <v>321</v>
      </c>
      <c r="B231" t="s">
        <v>107</v>
      </c>
    </row>
    <row r="232" spans="1:2" x14ac:dyDescent="0.3">
      <c r="A232" s="3" t="s">
        <v>91</v>
      </c>
      <c r="B232" t="s">
        <v>107</v>
      </c>
    </row>
    <row r="233" spans="1:2" x14ac:dyDescent="0.3">
      <c r="A233" s="3" t="s">
        <v>322</v>
      </c>
      <c r="B233" t="s">
        <v>107</v>
      </c>
    </row>
    <row r="234" spans="1:2" x14ac:dyDescent="0.3">
      <c r="A234" s="3" t="s">
        <v>93</v>
      </c>
      <c r="B234" t="s">
        <v>107</v>
      </c>
    </row>
    <row r="235" spans="1:2" x14ac:dyDescent="0.3">
      <c r="A235" s="3" t="s">
        <v>94</v>
      </c>
      <c r="B235" t="s">
        <v>107</v>
      </c>
    </row>
    <row r="236" spans="1:2" x14ac:dyDescent="0.3">
      <c r="A236" s="3" t="s">
        <v>95</v>
      </c>
      <c r="B236" t="s">
        <v>107</v>
      </c>
    </row>
    <row r="237" spans="1:2" x14ac:dyDescent="0.3">
      <c r="A237" s="3" t="s">
        <v>96</v>
      </c>
      <c r="B237" t="s">
        <v>107</v>
      </c>
    </row>
    <row r="238" spans="1:2" x14ac:dyDescent="0.3">
      <c r="A238" s="3" t="s">
        <v>99</v>
      </c>
      <c r="B238" t="s">
        <v>107</v>
      </c>
    </row>
    <row r="239" spans="1:2" x14ac:dyDescent="0.3">
      <c r="A239" s="3" t="s">
        <v>98</v>
      </c>
      <c r="B239" t="s">
        <v>107</v>
      </c>
    </row>
    <row r="240" spans="1:2" x14ac:dyDescent="0.3">
      <c r="A240" s="3" t="s">
        <v>323</v>
      </c>
      <c r="B240" t="s">
        <v>108</v>
      </c>
    </row>
    <row r="241" spans="1:2" x14ac:dyDescent="0.3">
      <c r="A241" s="3" t="s">
        <v>324</v>
      </c>
      <c r="B241" t="s">
        <v>108</v>
      </c>
    </row>
    <row r="242" spans="1:2" x14ac:dyDescent="0.3">
      <c r="A242" s="3" t="s">
        <v>325</v>
      </c>
      <c r="B242" t="s">
        <v>108</v>
      </c>
    </row>
    <row r="243" spans="1:2" x14ac:dyDescent="0.3">
      <c r="A243" s="3" t="s">
        <v>326</v>
      </c>
      <c r="B243" t="s">
        <v>108</v>
      </c>
    </row>
    <row r="244" spans="1:2" x14ac:dyDescent="0.3">
      <c r="A244" s="3" t="s">
        <v>31</v>
      </c>
      <c r="B244" t="s">
        <v>109</v>
      </c>
    </row>
    <row r="245" spans="1:2" x14ac:dyDescent="0.3">
      <c r="A245" s="3" t="s">
        <v>327</v>
      </c>
      <c r="B245" t="s">
        <v>110</v>
      </c>
    </row>
    <row r="246" spans="1:2" x14ac:dyDescent="0.3">
      <c r="A246" s="3" t="s">
        <v>328</v>
      </c>
      <c r="B246" t="s">
        <v>110</v>
      </c>
    </row>
    <row r="247" spans="1:2" x14ac:dyDescent="0.3">
      <c r="A247" s="3" t="s">
        <v>329</v>
      </c>
      <c r="B247" t="s">
        <v>110</v>
      </c>
    </row>
    <row r="248" spans="1:2" x14ac:dyDescent="0.3">
      <c r="A248" s="3" t="s">
        <v>330</v>
      </c>
      <c r="B248" t="s">
        <v>110</v>
      </c>
    </row>
    <row r="249" spans="1:2" x14ac:dyDescent="0.3">
      <c r="A249" s="3" t="s">
        <v>159</v>
      </c>
      <c r="B249" t="s">
        <v>110</v>
      </c>
    </row>
    <row r="250" spans="1:2" x14ac:dyDescent="0.3">
      <c r="A250" s="3" t="s">
        <v>331</v>
      </c>
      <c r="B250" t="s">
        <v>110</v>
      </c>
    </row>
    <row r="251" spans="1:2" x14ac:dyDescent="0.3">
      <c r="A251" s="3" t="s">
        <v>332</v>
      </c>
      <c r="B251" t="s">
        <v>110</v>
      </c>
    </row>
    <row r="252" spans="1:2" x14ac:dyDescent="0.3">
      <c r="A252" s="3" t="s">
        <v>333</v>
      </c>
      <c r="B252" t="s">
        <v>110</v>
      </c>
    </row>
    <row r="253" spans="1:2" x14ac:dyDescent="0.3">
      <c r="A253" s="3" t="s">
        <v>334</v>
      </c>
      <c r="B253" t="s">
        <v>110</v>
      </c>
    </row>
    <row r="254" spans="1:2" x14ac:dyDescent="0.3">
      <c r="A254" s="3" t="s">
        <v>335</v>
      </c>
      <c r="B254" t="s">
        <v>110</v>
      </c>
    </row>
    <row r="255" spans="1:2" x14ac:dyDescent="0.3">
      <c r="A255" s="3" t="s">
        <v>165</v>
      </c>
      <c r="B255" t="s">
        <v>111</v>
      </c>
    </row>
    <row r="256" spans="1:2" x14ac:dyDescent="0.3">
      <c r="A256" s="3" t="s">
        <v>166</v>
      </c>
      <c r="B256" t="s">
        <v>111</v>
      </c>
    </row>
    <row r="257" spans="1:2" x14ac:dyDescent="0.3">
      <c r="A257" s="3" t="s">
        <v>167</v>
      </c>
      <c r="B257" t="s">
        <v>111</v>
      </c>
    </row>
    <row r="258" spans="1:2" x14ac:dyDescent="0.3">
      <c r="A258" s="3" t="s">
        <v>168</v>
      </c>
      <c r="B258" t="s">
        <v>111</v>
      </c>
    </row>
    <row r="259" spans="1:2" x14ac:dyDescent="0.3">
      <c r="A259" s="3" t="s">
        <v>169</v>
      </c>
      <c r="B259" t="s">
        <v>111</v>
      </c>
    </row>
    <row r="260" spans="1:2" x14ac:dyDescent="0.3">
      <c r="A260" s="3" t="s">
        <v>170</v>
      </c>
      <c r="B260" t="s">
        <v>111</v>
      </c>
    </row>
    <row r="261" spans="1:2" x14ac:dyDescent="0.3">
      <c r="A261" s="3" t="s">
        <v>171</v>
      </c>
      <c r="B261" t="s">
        <v>111</v>
      </c>
    </row>
    <row r="262" spans="1:2" x14ac:dyDescent="0.3">
      <c r="A262" s="3" t="s">
        <v>172</v>
      </c>
      <c r="B262" t="s">
        <v>111</v>
      </c>
    </row>
    <row r="263" spans="1:2" x14ac:dyDescent="0.3">
      <c r="A263" s="3" t="s">
        <v>173</v>
      </c>
      <c r="B263" t="s">
        <v>111</v>
      </c>
    </row>
    <row r="264" spans="1:2" x14ac:dyDescent="0.3">
      <c r="A264" s="3" t="s">
        <v>336</v>
      </c>
      <c r="B264" t="s">
        <v>113</v>
      </c>
    </row>
    <row r="265" spans="1:2" x14ac:dyDescent="0.3">
      <c r="A265" s="3" t="s">
        <v>337</v>
      </c>
      <c r="B265" t="s">
        <v>113</v>
      </c>
    </row>
    <row r="266" spans="1:2" x14ac:dyDescent="0.3">
      <c r="A266" s="3" t="s">
        <v>338</v>
      </c>
      <c r="B266" t="s">
        <v>105</v>
      </c>
    </row>
    <row r="267" spans="1:2" x14ac:dyDescent="0.3">
      <c r="A267" s="3" t="s">
        <v>339</v>
      </c>
      <c r="B267" t="s">
        <v>105</v>
      </c>
    </row>
    <row r="268" spans="1:2" x14ac:dyDescent="0.3">
      <c r="A268" s="3" t="s">
        <v>340</v>
      </c>
      <c r="B268" t="s">
        <v>105</v>
      </c>
    </row>
    <row r="269" spans="1:2" x14ac:dyDescent="0.3">
      <c r="A269" s="3" t="s">
        <v>341</v>
      </c>
      <c r="B269" t="s">
        <v>105</v>
      </c>
    </row>
    <row r="270" spans="1:2" x14ac:dyDescent="0.3">
      <c r="A270" s="3" t="s">
        <v>342</v>
      </c>
      <c r="B270" t="s">
        <v>105</v>
      </c>
    </row>
    <row r="271" spans="1:2" x14ac:dyDescent="0.3">
      <c r="A271" s="3" t="s">
        <v>343</v>
      </c>
      <c r="B271" t="s">
        <v>105</v>
      </c>
    </row>
    <row r="272" spans="1:2" x14ac:dyDescent="0.3">
      <c r="A272" s="3" t="s">
        <v>344</v>
      </c>
      <c r="B272" t="s">
        <v>105</v>
      </c>
    </row>
    <row r="273" spans="1:2" x14ac:dyDescent="0.3">
      <c r="A273" s="3" t="s">
        <v>345</v>
      </c>
      <c r="B273" t="s">
        <v>105</v>
      </c>
    </row>
    <row r="274" spans="1:2" x14ac:dyDescent="0.3">
      <c r="A274" s="3" t="s">
        <v>346</v>
      </c>
      <c r="B274" t="s">
        <v>105</v>
      </c>
    </row>
    <row r="275" spans="1:2" x14ac:dyDescent="0.3">
      <c r="A275" s="3" t="s">
        <v>347</v>
      </c>
      <c r="B275" t="s">
        <v>105</v>
      </c>
    </row>
    <row r="276" spans="1:2" x14ac:dyDescent="0.3">
      <c r="A276" s="3" t="s">
        <v>348</v>
      </c>
      <c r="B276" t="s">
        <v>105</v>
      </c>
    </row>
    <row r="277" spans="1:2" x14ac:dyDescent="0.3">
      <c r="A277" s="3" t="s">
        <v>349</v>
      </c>
      <c r="B277" t="s">
        <v>105</v>
      </c>
    </row>
    <row r="278" spans="1:2" x14ac:dyDescent="0.3">
      <c r="A278" s="3" t="s">
        <v>327</v>
      </c>
      <c r="B278" t="s">
        <v>120</v>
      </c>
    </row>
    <row r="279" spans="1:2" x14ac:dyDescent="0.3">
      <c r="A279" s="3" t="s">
        <v>350</v>
      </c>
      <c r="B279" t="s">
        <v>120</v>
      </c>
    </row>
    <row r="280" spans="1:2" x14ac:dyDescent="0.3">
      <c r="A280" s="3" t="s">
        <v>351</v>
      </c>
      <c r="B280" t="s">
        <v>120</v>
      </c>
    </row>
    <row r="281" spans="1:2" x14ac:dyDescent="0.3">
      <c r="A281" s="3" t="s">
        <v>352</v>
      </c>
      <c r="B281" t="s">
        <v>121</v>
      </c>
    </row>
    <row r="282" spans="1:2" x14ac:dyDescent="0.3">
      <c r="A282" s="3" t="s">
        <v>353</v>
      </c>
      <c r="B282" t="s">
        <v>121</v>
      </c>
    </row>
    <row r="283" spans="1:2" x14ac:dyDescent="0.3">
      <c r="A283" s="3" t="s">
        <v>327</v>
      </c>
      <c r="B283" t="s">
        <v>125</v>
      </c>
    </row>
    <row r="284" spans="1:2" x14ac:dyDescent="0.3">
      <c r="A284" s="3" t="s">
        <v>328</v>
      </c>
      <c r="B284" t="s">
        <v>125</v>
      </c>
    </row>
    <row r="285" spans="1:2" x14ac:dyDescent="0.3">
      <c r="A285" s="3" t="s">
        <v>329</v>
      </c>
      <c r="B285" t="s">
        <v>125</v>
      </c>
    </row>
    <row r="286" spans="1:2" x14ac:dyDescent="0.3">
      <c r="A286" s="3" t="s">
        <v>330</v>
      </c>
      <c r="B286" t="s">
        <v>125</v>
      </c>
    </row>
    <row r="287" spans="1:2" x14ac:dyDescent="0.3">
      <c r="A287" s="3" t="s">
        <v>159</v>
      </c>
      <c r="B287" t="s">
        <v>125</v>
      </c>
    </row>
    <row r="288" spans="1:2" x14ac:dyDescent="0.3">
      <c r="A288" s="3" t="s">
        <v>331</v>
      </c>
      <c r="B288" t="s">
        <v>125</v>
      </c>
    </row>
    <row r="289" spans="1:2" x14ac:dyDescent="0.3">
      <c r="A289" s="3" t="s">
        <v>332</v>
      </c>
      <c r="B289" t="s">
        <v>125</v>
      </c>
    </row>
    <row r="290" spans="1:2" x14ac:dyDescent="0.3">
      <c r="A290" s="3" t="s">
        <v>333</v>
      </c>
      <c r="B290" t="s">
        <v>125</v>
      </c>
    </row>
    <row r="291" spans="1:2" x14ac:dyDescent="0.3">
      <c r="A291" s="3" t="s">
        <v>334</v>
      </c>
      <c r="B291" t="s">
        <v>125</v>
      </c>
    </row>
    <row r="292" spans="1:2" x14ac:dyDescent="0.3">
      <c r="A292" s="3" t="s">
        <v>335</v>
      </c>
      <c r="B292" t="s">
        <v>125</v>
      </c>
    </row>
    <row r="293" spans="1:2" x14ac:dyDescent="0.3">
      <c r="A293" s="3" t="s">
        <v>27</v>
      </c>
      <c r="B293" t="s">
        <v>126</v>
      </c>
    </row>
    <row r="294" spans="1:2" x14ac:dyDescent="0.3">
      <c r="A294" s="3" t="s">
        <v>15</v>
      </c>
      <c r="B294" t="s">
        <v>127</v>
      </c>
    </row>
    <row r="295" spans="1:2" x14ac:dyDescent="0.3">
      <c r="A295" s="3" t="s">
        <v>338</v>
      </c>
      <c r="B295" t="s">
        <v>134</v>
      </c>
    </row>
    <row r="296" spans="1:2" x14ac:dyDescent="0.3">
      <c r="A296" s="3" t="s">
        <v>340</v>
      </c>
      <c r="B296" t="s">
        <v>134</v>
      </c>
    </row>
    <row r="297" spans="1:2" x14ac:dyDescent="0.3">
      <c r="A297" s="3" t="s">
        <v>341</v>
      </c>
      <c r="B297" t="s">
        <v>134</v>
      </c>
    </row>
    <row r="298" spans="1:2" x14ac:dyDescent="0.3">
      <c r="A298" s="3" t="s">
        <v>342</v>
      </c>
      <c r="B298" t="s">
        <v>134</v>
      </c>
    </row>
    <row r="299" spans="1:2" x14ac:dyDescent="0.3">
      <c r="A299" s="3" t="s">
        <v>354</v>
      </c>
      <c r="B299" t="s">
        <v>134</v>
      </c>
    </row>
    <row r="300" spans="1:2" x14ac:dyDescent="0.3">
      <c r="A300" s="3" t="s">
        <v>343</v>
      </c>
      <c r="B300" t="s">
        <v>134</v>
      </c>
    </row>
    <row r="301" spans="1:2" x14ac:dyDescent="0.3">
      <c r="A301" s="3" t="s">
        <v>346</v>
      </c>
      <c r="B301" t="s">
        <v>134</v>
      </c>
    </row>
    <row r="302" spans="1:2" x14ac:dyDescent="0.3">
      <c r="A302" s="3" t="s">
        <v>347</v>
      </c>
      <c r="B302" t="s">
        <v>134</v>
      </c>
    </row>
    <row r="303" spans="1:2" x14ac:dyDescent="0.3">
      <c r="A303" s="3" t="s">
        <v>348</v>
      </c>
      <c r="B303" t="s">
        <v>134</v>
      </c>
    </row>
    <row r="304" spans="1:2" x14ac:dyDescent="0.3">
      <c r="A304" s="3" t="s">
        <v>355</v>
      </c>
      <c r="B304" t="s">
        <v>134</v>
      </c>
    </row>
    <row r="305" spans="1:2" x14ac:dyDescent="0.3">
      <c r="A305" s="3" t="s">
        <v>327</v>
      </c>
      <c r="B305" t="s">
        <v>136</v>
      </c>
    </row>
    <row r="306" spans="1:2" x14ac:dyDescent="0.3">
      <c r="A306" s="3" t="s">
        <v>356</v>
      </c>
      <c r="B306" t="s">
        <v>136</v>
      </c>
    </row>
    <row r="307" spans="1:2" x14ac:dyDescent="0.3">
      <c r="A307" s="3" t="s">
        <v>357</v>
      </c>
      <c r="B307" t="s">
        <v>136</v>
      </c>
    </row>
    <row r="308" spans="1:2" x14ac:dyDescent="0.3">
      <c r="A308" s="3" t="s">
        <v>358</v>
      </c>
      <c r="B308" t="s">
        <v>136</v>
      </c>
    </row>
    <row r="309" spans="1:2" x14ac:dyDescent="0.3">
      <c r="A309" s="3" t="s">
        <v>359</v>
      </c>
      <c r="B309" t="s">
        <v>136</v>
      </c>
    </row>
    <row r="310" spans="1:2" x14ac:dyDescent="0.3">
      <c r="A310" s="3" t="s">
        <v>360</v>
      </c>
      <c r="B310" t="s">
        <v>138</v>
      </c>
    </row>
    <row r="311" spans="1:2" x14ac:dyDescent="0.3">
      <c r="A311" s="3" t="s">
        <v>361</v>
      </c>
      <c r="B311" t="s">
        <v>138</v>
      </c>
    </row>
    <row r="312" spans="1:2" x14ac:dyDescent="0.3">
      <c r="A312" s="3" t="s">
        <v>180</v>
      </c>
      <c r="B312" t="s">
        <v>138</v>
      </c>
    </row>
    <row r="313" spans="1:2" x14ac:dyDescent="0.3">
      <c r="A313" s="3" t="s">
        <v>362</v>
      </c>
      <c r="B313" t="s">
        <v>138</v>
      </c>
    </row>
    <row r="314" spans="1:2" x14ac:dyDescent="0.3">
      <c r="A314" s="3" t="s">
        <v>363</v>
      </c>
      <c r="B314" t="s">
        <v>138</v>
      </c>
    </row>
    <row r="315" spans="1:2" x14ac:dyDescent="0.3">
      <c r="A315" s="3" t="s">
        <v>364</v>
      </c>
      <c r="B315" t="s">
        <v>138</v>
      </c>
    </row>
    <row r="316" spans="1:2" x14ac:dyDescent="0.3">
      <c r="A316" s="3" t="s">
        <v>365</v>
      </c>
      <c r="B316" t="s">
        <v>138</v>
      </c>
    </row>
    <row r="317" spans="1:2" x14ac:dyDescent="0.3">
      <c r="A317" s="3" t="s">
        <v>366</v>
      </c>
      <c r="B317" t="s">
        <v>139</v>
      </c>
    </row>
    <row r="318" spans="1:2" x14ac:dyDescent="0.3">
      <c r="A318" s="3" t="s">
        <v>367</v>
      </c>
      <c r="B318" t="s">
        <v>139</v>
      </c>
    </row>
    <row r="319" spans="1:2" x14ac:dyDescent="0.3">
      <c r="A319" s="3" t="s">
        <v>368</v>
      </c>
      <c r="B319" t="s">
        <v>139</v>
      </c>
    </row>
    <row r="320" spans="1:2" x14ac:dyDescent="0.3">
      <c r="A320" s="3" t="s">
        <v>369</v>
      </c>
      <c r="B320" t="s">
        <v>139</v>
      </c>
    </row>
    <row r="321" spans="1:2" x14ac:dyDescent="0.3">
      <c r="A321" s="3" t="s">
        <v>309</v>
      </c>
      <c r="B321" t="s">
        <v>139</v>
      </c>
    </row>
    <row r="322" spans="1:2" x14ac:dyDescent="0.3">
      <c r="A322" s="3" t="s">
        <v>370</v>
      </c>
      <c r="B322" t="s">
        <v>139</v>
      </c>
    </row>
    <row r="323" spans="1:2" x14ac:dyDescent="0.3">
      <c r="A323" s="3" t="s">
        <v>247</v>
      </c>
      <c r="B323" t="s">
        <v>139</v>
      </c>
    </row>
    <row r="324" spans="1:2" x14ac:dyDescent="0.3">
      <c r="A324" s="3" t="s">
        <v>371</v>
      </c>
      <c r="B324" t="s">
        <v>139</v>
      </c>
    </row>
    <row r="325" spans="1:2" x14ac:dyDescent="0.3">
      <c r="A325" s="3" t="s">
        <v>372</v>
      </c>
      <c r="B325" t="s">
        <v>139</v>
      </c>
    </row>
    <row r="326" spans="1:2" x14ac:dyDescent="0.3">
      <c r="A326" s="3" t="s">
        <v>309</v>
      </c>
      <c r="B326" t="s">
        <v>139</v>
      </c>
    </row>
    <row r="327" spans="1:2" x14ac:dyDescent="0.3">
      <c r="A327" s="3" t="s">
        <v>373</v>
      </c>
      <c r="B327" t="s">
        <v>139</v>
      </c>
    </row>
    <row r="328" spans="1:2" x14ac:dyDescent="0.3">
      <c r="A328" s="3" t="s">
        <v>374</v>
      </c>
      <c r="B328" t="s">
        <v>139</v>
      </c>
    </row>
    <row r="329" spans="1:2" x14ac:dyDescent="0.3">
      <c r="A329" s="3" t="s">
        <v>375</v>
      </c>
      <c r="B329" t="s">
        <v>139</v>
      </c>
    </row>
    <row r="330" spans="1:2" x14ac:dyDescent="0.3">
      <c r="A330" s="3" t="s">
        <v>29</v>
      </c>
      <c r="B330" t="s">
        <v>140</v>
      </c>
    </row>
    <row r="331" spans="1:2" x14ac:dyDescent="0.3">
      <c r="A331" s="3" t="s">
        <v>376</v>
      </c>
      <c r="B331" t="s">
        <v>140</v>
      </c>
    </row>
    <row r="332" spans="1:2" x14ac:dyDescent="0.3">
      <c r="A332" s="3" t="s">
        <v>377</v>
      </c>
      <c r="B332" t="s">
        <v>140</v>
      </c>
    </row>
    <row r="333" spans="1:2" x14ac:dyDescent="0.3">
      <c r="A333" s="3" t="s">
        <v>378</v>
      </c>
      <c r="B333" t="s">
        <v>141</v>
      </c>
    </row>
    <row r="334" spans="1:2" x14ac:dyDescent="0.3">
      <c r="A334" s="3" t="s">
        <v>379</v>
      </c>
      <c r="B334" t="s">
        <v>141</v>
      </c>
    </row>
    <row r="335" spans="1:2" x14ac:dyDescent="0.3">
      <c r="A335" s="3" t="s">
        <v>380</v>
      </c>
      <c r="B335" t="s">
        <v>141</v>
      </c>
    </row>
    <row r="336" spans="1:2" x14ac:dyDescent="0.3">
      <c r="A336" s="3" t="s">
        <v>381</v>
      </c>
      <c r="B336" t="s">
        <v>142</v>
      </c>
    </row>
    <row r="337" spans="1:2" x14ac:dyDescent="0.3">
      <c r="A337" s="3" t="s">
        <v>382</v>
      </c>
      <c r="B337" t="s">
        <v>142</v>
      </c>
    </row>
    <row r="338" spans="1:2" x14ac:dyDescent="0.3">
      <c r="A338" s="3" t="s">
        <v>383</v>
      </c>
      <c r="B338" t="s">
        <v>143</v>
      </c>
    </row>
    <row r="339" spans="1:2" x14ac:dyDescent="0.3">
      <c r="A339" s="3" t="s">
        <v>384</v>
      </c>
      <c r="B339" t="s">
        <v>144</v>
      </c>
    </row>
    <row r="340" spans="1:2" x14ac:dyDescent="0.3">
      <c r="A340" s="3" t="s">
        <v>199</v>
      </c>
      <c r="B340" t="s">
        <v>145</v>
      </c>
    </row>
    <row r="341" spans="1:2" x14ac:dyDescent="0.3">
      <c r="A341" s="3" t="s">
        <v>274</v>
      </c>
      <c r="B341" t="s">
        <v>146</v>
      </c>
    </row>
    <row r="342" spans="1:2" x14ac:dyDescent="0.3">
      <c r="A342" s="3" t="s">
        <v>201</v>
      </c>
      <c r="B342" t="s">
        <v>146</v>
      </c>
    </row>
    <row r="343" spans="1:2" x14ac:dyDescent="0.3">
      <c r="A343" s="3" t="s">
        <v>202</v>
      </c>
      <c r="B343" t="s">
        <v>146</v>
      </c>
    </row>
    <row r="344" spans="1:2" x14ac:dyDescent="0.3">
      <c r="A344" s="3" t="s">
        <v>385</v>
      </c>
      <c r="B344" t="s">
        <v>147</v>
      </c>
    </row>
    <row r="345" spans="1:2" x14ac:dyDescent="0.3">
      <c r="A345" s="3" t="s">
        <v>386</v>
      </c>
      <c r="B345" t="s">
        <v>147</v>
      </c>
    </row>
    <row r="346" spans="1:2" x14ac:dyDescent="0.3">
      <c r="A346" s="3" t="s">
        <v>387</v>
      </c>
      <c r="B346" t="s">
        <v>149</v>
      </c>
    </row>
    <row r="347" spans="1:2" x14ac:dyDescent="0.3">
      <c r="A347" s="3" t="s">
        <v>281</v>
      </c>
      <c r="B347" t="s">
        <v>149</v>
      </c>
    </row>
    <row r="348" spans="1:2" x14ac:dyDescent="0.3">
      <c r="A348" s="3" t="s">
        <v>204</v>
      </c>
      <c r="B348" t="s">
        <v>149</v>
      </c>
    </row>
    <row r="349" spans="1:2" x14ac:dyDescent="0.3">
      <c r="A349" s="3" t="s">
        <v>204</v>
      </c>
      <c r="B349" t="s">
        <v>149</v>
      </c>
    </row>
    <row r="350" spans="1:2" x14ac:dyDescent="0.3">
      <c r="A350" s="3" t="s">
        <v>206</v>
      </c>
      <c r="B350" t="s">
        <v>154</v>
      </c>
    </row>
    <row r="351" spans="1:2" x14ac:dyDescent="0.3">
      <c r="A351" s="3" t="s">
        <v>388</v>
      </c>
      <c r="B351" t="s">
        <v>154</v>
      </c>
    </row>
    <row r="352" spans="1:2" x14ac:dyDescent="0.3">
      <c r="A352" s="3" t="s">
        <v>389</v>
      </c>
      <c r="B352" t="s">
        <v>154</v>
      </c>
    </row>
    <row r="353" spans="1:2" x14ac:dyDescent="0.3">
      <c r="A353" s="3" t="s">
        <v>39</v>
      </c>
      <c r="B353" t="s">
        <v>154</v>
      </c>
    </row>
    <row r="354" spans="1:2" x14ac:dyDescent="0.3">
      <c r="A354" s="3" t="s">
        <v>390</v>
      </c>
      <c r="B354" t="s">
        <v>107</v>
      </c>
    </row>
    <row r="355" spans="1:2" x14ac:dyDescent="0.3">
      <c r="A355" s="3" t="s">
        <v>391</v>
      </c>
      <c r="B355" t="s">
        <v>107</v>
      </c>
    </row>
    <row r="356" spans="1:2" x14ac:dyDescent="0.3">
      <c r="A356" s="3" t="s">
        <v>392</v>
      </c>
      <c r="B356" t="s">
        <v>107</v>
      </c>
    </row>
    <row r="357" spans="1:2" x14ac:dyDescent="0.3">
      <c r="A357" s="3" t="s">
        <v>393</v>
      </c>
      <c r="B357" t="s">
        <v>107</v>
      </c>
    </row>
    <row r="358" spans="1:2" x14ac:dyDescent="0.3">
      <c r="A358" s="3" t="s">
        <v>391</v>
      </c>
      <c r="B358" t="s">
        <v>107</v>
      </c>
    </row>
    <row r="359" spans="1:2" x14ac:dyDescent="0.3">
      <c r="A359" s="3" t="s">
        <v>155</v>
      </c>
      <c r="B359" t="s">
        <v>109</v>
      </c>
    </row>
    <row r="360" spans="1:2" x14ac:dyDescent="0.3">
      <c r="A360" s="3" t="s">
        <v>156</v>
      </c>
      <c r="B360" t="s">
        <v>109</v>
      </c>
    </row>
    <row r="361" spans="1:2" x14ac:dyDescent="0.3">
      <c r="A361" s="3" t="s">
        <v>297</v>
      </c>
      <c r="B361" t="s">
        <v>109</v>
      </c>
    </row>
    <row r="362" spans="1:2" x14ac:dyDescent="0.3">
      <c r="A362" s="3" t="s">
        <v>394</v>
      </c>
      <c r="B362" t="s">
        <v>110</v>
      </c>
    </row>
    <row r="363" spans="1:2" x14ac:dyDescent="0.3">
      <c r="A363" s="3" t="s">
        <v>395</v>
      </c>
      <c r="B363" t="s">
        <v>110</v>
      </c>
    </row>
    <row r="364" spans="1:2" x14ac:dyDescent="0.3">
      <c r="A364" s="3" t="s">
        <v>396</v>
      </c>
      <c r="B364" t="s">
        <v>110</v>
      </c>
    </row>
    <row r="365" spans="1:2" x14ac:dyDescent="0.3">
      <c r="A365" s="3" t="s">
        <v>397</v>
      </c>
      <c r="B365" t="s">
        <v>110</v>
      </c>
    </row>
    <row r="366" spans="1:2" x14ac:dyDescent="0.3">
      <c r="A366" s="3" t="s">
        <v>390</v>
      </c>
      <c r="B366" t="s">
        <v>110</v>
      </c>
    </row>
    <row r="367" spans="1:2" x14ac:dyDescent="0.3">
      <c r="A367" s="3" t="s">
        <v>398</v>
      </c>
      <c r="B367" t="s">
        <v>110</v>
      </c>
    </row>
    <row r="368" spans="1:2" x14ac:dyDescent="0.3">
      <c r="A368" s="3" t="s">
        <v>330</v>
      </c>
      <c r="B368" t="s">
        <v>110</v>
      </c>
    </row>
    <row r="369" spans="1:2" x14ac:dyDescent="0.3">
      <c r="A369" s="3" t="s">
        <v>399</v>
      </c>
      <c r="B369" t="s">
        <v>111</v>
      </c>
    </row>
    <row r="370" spans="1:2" x14ac:dyDescent="0.3">
      <c r="A370" s="3" t="s">
        <v>400</v>
      </c>
      <c r="B370" t="s">
        <v>111</v>
      </c>
    </row>
    <row r="371" spans="1:2" x14ac:dyDescent="0.3">
      <c r="A371" s="3" t="s">
        <v>401</v>
      </c>
      <c r="B371" t="s">
        <v>111</v>
      </c>
    </row>
    <row r="372" spans="1:2" x14ac:dyDescent="0.3">
      <c r="A372" s="3" t="s">
        <v>402</v>
      </c>
      <c r="B372" t="s">
        <v>111</v>
      </c>
    </row>
    <row r="373" spans="1:2" x14ac:dyDescent="0.3">
      <c r="A373" s="3" t="s">
        <v>403</v>
      </c>
      <c r="B373" t="s">
        <v>111</v>
      </c>
    </row>
    <row r="374" spans="1:2" x14ac:dyDescent="0.3">
      <c r="A374" s="3" t="s">
        <v>170</v>
      </c>
      <c r="B374" t="s">
        <v>111</v>
      </c>
    </row>
    <row r="375" spans="1:2" x14ac:dyDescent="0.3">
      <c r="A375" s="3" t="s">
        <v>171</v>
      </c>
      <c r="B375" t="s">
        <v>111</v>
      </c>
    </row>
    <row r="376" spans="1:2" x14ac:dyDescent="0.3">
      <c r="A376" s="3" t="s">
        <v>172</v>
      </c>
      <c r="B376" t="s">
        <v>111</v>
      </c>
    </row>
    <row r="377" spans="1:2" x14ac:dyDescent="0.3">
      <c r="A377" s="3" t="s">
        <v>173</v>
      </c>
      <c r="B377" t="s">
        <v>111</v>
      </c>
    </row>
    <row r="378" spans="1:2" x14ac:dyDescent="0.3">
      <c r="A378" s="3" t="s">
        <v>404</v>
      </c>
      <c r="B378" t="s">
        <v>114</v>
      </c>
    </row>
    <row r="379" spans="1:2" x14ac:dyDescent="0.3">
      <c r="A379" s="3" t="s">
        <v>405</v>
      </c>
      <c r="B379" t="s">
        <v>114</v>
      </c>
    </row>
    <row r="380" spans="1:2" x14ac:dyDescent="0.3">
      <c r="A380" s="3" t="s">
        <v>174</v>
      </c>
      <c r="B380" t="s">
        <v>121</v>
      </c>
    </row>
    <row r="381" spans="1:2" x14ac:dyDescent="0.3">
      <c r="A381" s="3" t="s">
        <v>406</v>
      </c>
      <c r="B381" t="s">
        <v>126</v>
      </c>
    </row>
    <row r="382" spans="1:2" x14ac:dyDescent="0.3">
      <c r="A382" s="3" t="s">
        <v>407</v>
      </c>
      <c r="B382" t="s">
        <v>127</v>
      </c>
    </row>
    <row r="383" spans="1:2" x14ac:dyDescent="0.3">
      <c r="A383" s="3" t="s">
        <v>407</v>
      </c>
      <c r="B383" t="s">
        <v>128</v>
      </c>
    </row>
    <row r="384" spans="1:2" x14ac:dyDescent="0.3">
      <c r="A384" s="3" t="s">
        <v>408</v>
      </c>
      <c r="B384" t="s">
        <v>129</v>
      </c>
    </row>
    <row r="385" spans="1:2" x14ac:dyDescent="0.3">
      <c r="A385" s="3" t="s">
        <v>409</v>
      </c>
      <c r="B385" t="s">
        <v>130</v>
      </c>
    </row>
    <row r="386" spans="1:2" x14ac:dyDescent="0.3">
      <c r="A386" s="3" t="s">
        <v>410</v>
      </c>
      <c r="B386" t="s">
        <v>131</v>
      </c>
    </row>
    <row r="387" spans="1:2" x14ac:dyDescent="0.3">
      <c r="A387" s="3" t="s">
        <v>401</v>
      </c>
      <c r="B387" t="s">
        <v>132</v>
      </c>
    </row>
    <row r="388" spans="1:2" x14ac:dyDescent="0.3">
      <c r="A388" s="3" t="s">
        <v>411</v>
      </c>
      <c r="B388" t="s">
        <v>133</v>
      </c>
    </row>
    <row r="389" spans="1:2" x14ac:dyDescent="0.3">
      <c r="A389" s="3" t="s">
        <v>412</v>
      </c>
      <c r="B389" t="s">
        <v>134</v>
      </c>
    </row>
    <row r="390" spans="1:2" x14ac:dyDescent="0.3">
      <c r="A390" s="3" t="s">
        <v>413</v>
      </c>
      <c r="B390" t="s">
        <v>135</v>
      </c>
    </row>
    <row r="391" spans="1:2" x14ac:dyDescent="0.3">
      <c r="A391" s="3" t="s">
        <v>414</v>
      </c>
      <c r="B391" t="s">
        <v>138</v>
      </c>
    </row>
    <row r="392" spans="1:2" x14ac:dyDescent="0.3">
      <c r="A392" s="3" t="s">
        <v>415</v>
      </c>
      <c r="B392" t="s">
        <v>138</v>
      </c>
    </row>
    <row r="393" spans="1:2" x14ac:dyDescent="0.3">
      <c r="A393" s="3" t="s">
        <v>237</v>
      </c>
      <c r="B393" t="s">
        <v>138</v>
      </c>
    </row>
    <row r="394" spans="1:2" x14ac:dyDescent="0.3">
      <c r="A394" s="3" t="s">
        <v>416</v>
      </c>
      <c r="B394" t="s">
        <v>138</v>
      </c>
    </row>
    <row r="395" spans="1:2" x14ac:dyDescent="0.3">
      <c r="A395" s="3" t="s">
        <v>416</v>
      </c>
      <c r="B395" t="s">
        <v>138</v>
      </c>
    </row>
    <row r="396" spans="1:2" x14ac:dyDescent="0.3">
      <c r="A396" s="3" t="s">
        <v>237</v>
      </c>
      <c r="B396" t="s">
        <v>138</v>
      </c>
    </row>
    <row r="397" spans="1:2" x14ac:dyDescent="0.3">
      <c r="A397" s="3" t="s">
        <v>417</v>
      </c>
      <c r="B397" t="s">
        <v>138</v>
      </c>
    </row>
    <row r="398" spans="1:2" x14ac:dyDescent="0.3">
      <c r="A398" s="3" t="s">
        <v>418</v>
      </c>
      <c r="B398" t="s">
        <v>138</v>
      </c>
    </row>
    <row r="399" spans="1:2" x14ac:dyDescent="0.3">
      <c r="A399" s="3" t="s">
        <v>180</v>
      </c>
      <c r="B399" t="s">
        <v>138</v>
      </c>
    </row>
    <row r="400" spans="1:2" x14ac:dyDescent="0.3">
      <c r="A400" s="3" t="s">
        <v>419</v>
      </c>
      <c r="B400" t="s">
        <v>138</v>
      </c>
    </row>
    <row r="401" spans="1:2" x14ac:dyDescent="0.3">
      <c r="A401" s="3" t="s">
        <v>419</v>
      </c>
      <c r="B401" t="s">
        <v>138</v>
      </c>
    </row>
    <row r="402" spans="1:2" x14ac:dyDescent="0.3">
      <c r="A402" s="3" t="s">
        <v>420</v>
      </c>
      <c r="B402" t="s">
        <v>138</v>
      </c>
    </row>
    <row r="403" spans="1:2" x14ac:dyDescent="0.3">
      <c r="A403" s="3" t="s">
        <v>180</v>
      </c>
      <c r="B403" t="s">
        <v>138</v>
      </c>
    </row>
    <row r="404" spans="1:2" x14ac:dyDescent="0.3">
      <c r="A404" s="3" t="s">
        <v>421</v>
      </c>
      <c r="B404" t="s">
        <v>138</v>
      </c>
    </row>
    <row r="405" spans="1:2" x14ac:dyDescent="0.3">
      <c r="A405" s="3" t="s">
        <v>422</v>
      </c>
      <c r="B405" t="s">
        <v>138</v>
      </c>
    </row>
    <row r="406" spans="1:2" x14ac:dyDescent="0.3">
      <c r="A406" s="3" t="s">
        <v>423</v>
      </c>
      <c r="B406" t="s">
        <v>138</v>
      </c>
    </row>
    <row r="407" spans="1:2" x14ac:dyDescent="0.3">
      <c r="A407" s="3" t="s">
        <v>286</v>
      </c>
      <c r="B407" t="s">
        <v>139</v>
      </c>
    </row>
    <row r="408" spans="1:2" x14ac:dyDescent="0.3">
      <c r="A408" s="3" t="s">
        <v>431</v>
      </c>
      <c r="B408" t="s">
        <v>139</v>
      </c>
    </row>
    <row r="409" spans="1:2" x14ac:dyDescent="0.3">
      <c r="A409" s="3" t="s">
        <v>424</v>
      </c>
      <c r="B409" t="s">
        <v>139</v>
      </c>
    </row>
    <row r="410" spans="1:2" x14ac:dyDescent="0.3">
      <c r="A410" s="3" t="s">
        <v>249</v>
      </c>
      <c r="B410" t="s">
        <v>139</v>
      </c>
    </row>
    <row r="411" spans="1:2" x14ac:dyDescent="0.3">
      <c r="A411" s="3" t="s">
        <v>425</v>
      </c>
      <c r="B411" t="s">
        <v>139</v>
      </c>
    </row>
    <row r="412" spans="1:2" x14ac:dyDescent="0.3">
      <c r="A412" s="3" t="s">
        <v>186</v>
      </c>
      <c r="B412" t="s">
        <v>139</v>
      </c>
    </row>
    <row r="413" spans="1:2" x14ac:dyDescent="0.3">
      <c r="A413" s="3" t="s">
        <v>426</v>
      </c>
      <c r="B413" t="s">
        <v>139</v>
      </c>
    </row>
    <row r="414" spans="1:2" x14ac:dyDescent="0.3">
      <c r="A414" s="3" t="s">
        <v>374</v>
      </c>
      <c r="B414" t="s">
        <v>139</v>
      </c>
    </row>
    <row r="415" spans="1:2" x14ac:dyDescent="0.3">
      <c r="A415" s="3" t="s">
        <v>427</v>
      </c>
      <c r="B415" t="s">
        <v>139</v>
      </c>
    </row>
    <row r="416" spans="1:2" x14ac:dyDescent="0.3">
      <c r="A416" s="3" t="s">
        <v>428</v>
      </c>
      <c r="B416" t="s">
        <v>139</v>
      </c>
    </row>
    <row r="417" spans="1:2" x14ac:dyDescent="0.3">
      <c r="A417" s="3" t="s">
        <v>429</v>
      </c>
      <c r="B417" t="s">
        <v>139</v>
      </c>
    </row>
    <row r="418" spans="1:2" x14ac:dyDescent="0.3">
      <c r="A418" s="3" t="s">
        <v>430</v>
      </c>
      <c r="B418" t="s">
        <v>139</v>
      </c>
    </row>
    <row r="419" spans="1:2" x14ac:dyDescent="0.3">
      <c r="A419" s="3" t="s">
        <v>184</v>
      </c>
      <c r="B419" t="s">
        <v>139</v>
      </c>
    </row>
    <row r="420" spans="1:2" x14ac:dyDescent="0.3">
      <c r="A420" s="3" t="s">
        <v>29</v>
      </c>
      <c r="B420" t="s">
        <v>140</v>
      </c>
    </row>
    <row r="421" spans="1:2" x14ac:dyDescent="0.3">
      <c r="A421" s="3" t="s">
        <v>317</v>
      </c>
      <c r="B421" t="s">
        <v>140</v>
      </c>
    </row>
    <row r="422" spans="1:2" x14ac:dyDescent="0.3">
      <c r="A422" s="3" t="s">
        <v>432</v>
      </c>
      <c r="B422" t="s">
        <v>141</v>
      </c>
    </row>
    <row r="423" spans="1:2" x14ac:dyDescent="0.3">
      <c r="A423" s="3" t="s">
        <v>433</v>
      </c>
      <c r="B423" t="s">
        <v>141</v>
      </c>
    </row>
    <row r="424" spans="1:2" x14ac:dyDescent="0.3">
      <c r="A424" s="3" t="s">
        <v>434</v>
      </c>
      <c r="B424" t="s">
        <v>141</v>
      </c>
    </row>
    <row r="425" spans="1:2" x14ac:dyDescent="0.3">
      <c r="A425" s="3" t="s">
        <v>435</v>
      </c>
      <c r="B425" t="s">
        <v>141</v>
      </c>
    </row>
    <row r="426" spans="1:2" x14ac:dyDescent="0.3">
      <c r="A426" s="3" t="s">
        <v>436</v>
      </c>
      <c r="B426" t="s">
        <v>142</v>
      </c>
    </row>
    <row r="427" spans="1:2" x14ac:dyDescent="0.3">
      <c r="A427" s="3" t="s">
        <v>382</v>
      </c>
      <c r="B427" t="s">
        <v>142</v>
      </c>
    </row>
    <row r="428" spans="1:2" x14ac:dyDescent="0.3">
      <c r="A428" s="3" t="s">
        <v>437</v>
      </c>
      <c r="B428" t="s">
        <v>142</v>
      </c>
    </row>
    <row r="429" spans="1:2" x14ac:dyDescent="0.3">
      <c r="A429" s="3" t="s">
        <v>438</v>
      </c>
      <c r="B429" t="s">
        <v>143</v>
      </c>
    </row>
    <row r="430" spans="1:2" x14ac:dyDescent="0.3">
      <c r="A430" s="3" t="s">
        <v>439</v>
      </c>
      <c r="B430" t="s">
        <v>144</v>
      </c>
    </row>
    <row r="431" spans="1:2" x14ac:dyDescent="0.3">
      <c r="A431" s="3" t="s">
        <v>440</v>
      </c>
      <c r="B431" t="s">
        <v>144</v>
      </c>
    </row>
    <row r="432" spans="1:2" x14ac:dyDescent="0.3">
      <c r="A432" s="3" t="s">
        <v>441</v>
      </c>
      <c r="B432" t="s">
        <v>145</v>
      </c>
    </row>
    <row r="433" spans="1:2" x14ac:dyDescent="0.3">
      <c r="A433" s="3" t="s">
        <v>442</v>
      </c>
      <c r="B433" t="s">
        <v>145</v>
      </c>
    </row>
    <row r="434" spans="1:2" x14ac:dyDescent="0.3">
      <c r="A434" s="3" t="s">
        <v>274</v>
      </c>
      <c r="B434" t="s">
        <v>146</v>
      </c>
    </row>
    <row r="435" spans="1:2" x14ac:dyDescent="0.3">
      <c r="A435" s="3" t="s">
        <v>201</v>
      </c>
      <c r="B435" t="s">
        <v>146</v>
      </c>
    </row>
    <row r="436" spans="1:2" x14ac:dyDescent="0.3">
      <c r="A436" s="3" t="s">
        <v>202</v>
      </c>
      <c r="B436" t="s">
        <v>146</v>
      </c>
    </row>
    <row r="437" spans="1:2" x14ac:dyDescent="0.3">
      <c r="A437" s="3" t="s">
        <v>443</v>
      </c>
      <c r="B437" t="s">
        <v>147</v>
      </c>
    </row>
    <row r="438" spans="1:2" x14ac:dyDescent="0.3">
      <c r="A438" s="3" t="s">
        <v>444</v>
      </c>
      <c r="B438" t="s">
        <v>148</v>
      </c>
    </row>
    <row r="439" spans="1:2" x14ac:dyDescent="0.3">
      <c r="A439" s="3" t="s">
        <v>445</v>
      </c>
      <c r="B439" t="s">
        <v>149</v>
      </c>
    </row>
    <row r="440" spans="1:2" x14ac:dyDescent="0.3">
      <c r="A440" s="3" t="s">
        <v>446</v>
      </c>
      <c r="B440" t="s">
        <v>149</v>
      </c>
    </row>
    <row r="441" spans="1:2" x14ac:dyDescent="0.3">
      <c r="A441" s="3" t="s">
        <v>447</v>
      </c>
      <c r="B441" t="s">
        <v>154</v>
      </c>
    </row>
    <row r="442" spans="1:2" x14ac:dyDescent="0.3">
      <c r="A442" s="3" t="s">
        <v>206</v>
      </c>
      <c r="B442" t="s">
        <v>154</v>
      </c>
    </row>
    <row r="443" spans="1:2" x14ac:dyDescent="0.3">
      <c r="A443" s="3" t="s">
        <v>206</v>
      </c>
      <c r="B443" t="s">
        <v>154</v>
      </c>
    </row>
    <row r="444" spans="1:2" x14ac:dyDescent="0.3">
      <c r="A444" s="3" t="s">
        <v>448</v>
      </c>
      <c r="B444" t="s">
        <v>154</v>
      </c>
    </row>
    <row r="445" spans="1:2" x14ac:dyDescent="0.3">
      <c r="A445" s="3" t="s">
        <v>449</v>
      </c>
      <c r="B445" t="s">
        <v>154</v>
      </c>
    </row>
    <row r="446" spans="1:2" x14ac:dyDescent="0.3">
      <c r="A446" s="3" t="s">
        <v>375</v>
      </c>
      <c r="B446" t="s">
        <v>154</v>
      </c>
    </row>
    <row r="447" spans="1:2" x14ac:dyDescent="0.3">
      <c r="A447" s="3" t="s">
        <v>207</v>
      </c>
      <c r="B447" t="s">
        <v>154</v>
      </c>
    </row>
    <row r="448" spans="1:2" x14ac:dyDescent="0.3">
      <c r="A448" s="3" t="s">
        <v>450</v>
      </c>
      <c r="B448" t="s">
        <v>107</v>
      </c>
    </row>
    <row r="449" spans="1:2" x14ac:dyDescent="0.3">
      <c r="A449" s="3" t="s">
        <v>451</v>
      </c>
      <c r="B449" t="s">
        <v>107</v>
      </c>
    </row>
    <row r="450" spans="1:2" x14ac:dyDescent="0.3">
      <c r="A450" s="3" t="s">
        <v>452</v>
      </c>
      <c r="B450" t="s">
        <v>107</v>
      </c>
    </row>
    <row r="451" spans="1:2" x14ac:dyDescent="0.3">
      <c r="A451" s="3" t="s">
        <v>453</v>
      </c>
      <c r="B451" t="s">
        <v>107</v>
      </c>
    </row>
    <row r="452" spans="1:2" x14ac:dyDescent="0.3">
      <c r="A452" s="3" t="s">
        <v>454</v>
      </c>
      <c r="B452" t="s">
        <v>107</v>
      </c>
    </row>
    <row r="453" spans="1:2" x14ac:dyDescent="0.3">
      <c r="A453" s="3" t="s">
        <v>455</v>
      </c>
      <c r="B453" t="s">
        <v>107</v>
      </c>
    </row>
    <row r="454" spans="1:2" x14ac:dyDescent="0.3">
      <c r="A454" s="3" t="s">
        <v>456</v>
      </c>
      <c r="B454" t="s">
        <v>109</v>
      </c>
    </row>
    <row r="455" spans="1:2" x14ac:dyDescent="0.3">
      <c r="A455" s="3" t="s">
        <v>156</v>
      </c>
      <c r="B455" t="s">
        <v>109</v>
      </c>
    </row>
    <row r="456" spans="1:2" x14ac:dyDescent="0.3">
      <c r="A456" s="3" t="s">
        <v>297</v>
      </c>
      <c r="B456" t="s">
        <v>109</v>
      </c>
    </row>
    <row r="457" spans="1:2" x14ac:dyDescent="0.3">
      <c r="A457" s="3" t="s">
        <v>457</v>
      </c>
      <c r="B457" t="s">
        <v>110</v>
      </c>
    </row>
    <row r="458" spans="1:2" x14ac:dyDescent="0.3">
      <c r="A458" s="3" t="s">
        <v>159</v>
      </c>
      <c r="B458" t="s">
        <v>110</v>
      </c>
    </row>
    <row r="459" spans="1:2" x14ac:dyDescent="0.3">
      <c r="A459" s="3" t="s">
        <v>160</v>
      </c>
      <c r="B459" t="s">
        <v>110</v>
      </c>
    </row>
    <row r="460" spans="1:2" x14ac:dyDescent="0.3">
      <c r="A460" s="3" t="s">
        <v>161</v>
      </c>
      <c r="B460" t="s">
        <v>110</v>
      </c>
    </row>
    <row r="461" spans="1:2" x14ac:dyDescent="0.3">
      <c r="A461" s="3" t="s">
        <v>162</v>
      </c>
      <c r="B461" t="s">
        <v>110</v>
      </c>
    </row>
    <row r="462" spans="1:2" x14ac:dyDescent="0.3">
      <c r="A462" s="3" t="s">
        <v>398</v>
      </c>
      <c r="B462" t="s">
        <v>110</v>
      </c>
    </row>
    <row r="463" spans="1:2" x14ac:dyDescent="0.3">
      <c r="A463" s="3" t="s">
        <v>330</v>
      </c>
      <c r="B463" t="s">
        <v>110</v>
      </c>
    </row>
    <row r="464" spans="1:2" x14ac:dyDescent="0.3">
      <c r="A464" s="3" t="s">
        <v>458</v>
      </c>
      <c r="B464" t="s">
        <v>111</v>
      </c>
    </row>
    <row r="465" spans="1:3" x14ac:dyDescent="0.3">
      <c r="A465" s="3" t="s">
        <v>459</v>
      </c>
      <c r="B465" t="s">
        <v>111</v>
      </c>
    </row>
    <row r="466" spans="1:3" x14ac:dyDescent="0.3">
      <c r="A466" s="3" t="s">
        <v>460</v>
      </c>
      <c r="B466" t="s">
        <v>113</v>
      </c>
    </row>
    <row r="467" spans="1:3" x14ac:dyDescent="0.3">
      <c r="A467" s="3" t="s">
        <v>461</v>
      </c>
      <c r="B467" t="s">
        <v>113</v>
      </c>
    </row>
    <row r="468" spans="1:3" x14ac:dyDescent="0.3">
      <c r="A468" s="3" t="s">
        <v>462</v>
      </c>
      <c r="B468" t="s">
        <v>121</v>
      </c>
    </row>
    <row r="469" spans="1:3" x14ac:dyDescent="0.3">
      <c r="A469" s="3" t="s">
        <v>463</v>
      </c>
      <c r="B469" t="s">
        <v>121</v>
      </c>
    </row>
    <row r="470" spans="1:3" x14ac:dyDescent="0.3">
      <c r="A470" s="3" t="s">
        <v>464</v>
      </c>
      <c r="B470" t="s">
        <v>121</v>
      </c>
    </row>
    <row r="471" spans="1:3" x14ac:dyDescent="0.3">
      <c r="A471" s="3" t="s">
        <v>465</v>
      </c>
      <c r="B471" t="s">
        <v>121</v>
      </c>
    </row>
    <row r="472" spans="1:3" x14ac:dyDescent="0.3">
      <c r="A472" s="3" t="s">
        <v>466</v>
      </c>
      <c r="B472" t="s">
        <v>125</v>
      </c>
    </row>
    <row r="473" spans="1:3" x14ac:dyDescent="0.3">
      <c r="A473" s="3" t="s">
        <v>467</v>
      </c>
      <c r="B473" t="s">
        <v>138</v>
      </c>
      <c r="C473" t="s">
        <v>72</v>
      </c>
    </row>
    <row r="474" spans="1:3" x14ac:dyDescent="0.3">
      <c r="A474" s="3" t="s">
        <v>468</v>
      </c>
      <c r="B474" t="s">
        <v>138</v>
      </c>
      <c r="C474" t="s">
        <v>72</v>
      </c>
    </row>
    <row r="475" spans="1:3" x14ac:dyDescent="0.3">
      <c r="A475" s="3" t="s">
        <v>469</v>
      </c>
      <c r="B475" t="s">
        <v>126</v>
      </c>
    </row>
    <row r="476" spans="1:3" x14ac:dyDescent="0.3">
      <c r="A476" s="3" t="s">
        <v>470</v>
      </c>
      <c r="B476" t="s">
        <v>126</v>
      </c>
    </row>
    <row r="477" spans="1:3" x14ac:dyDescent="0.3">
      <c r="A477" s="3" t="s">
        <v>471</v>
      </c>
      <c r="B477" t="s">
        <v>138</v>
      </c>
      <c r="C477" t="s">
        <v>68</v>
      </c>
    </row>
    <row r="478" spans="1:3" x14ac:dyDescent="0.3">
      <c r="A478" s="3" t="s">
        <v>472</v>
      </c>
      <c r="B478" t="s">
        <v>138</v>
      </c>
      <c r="C478" t="s">
        <v>68</v>
      </c>
    </row>
    <row r="479" spans="1:3" x14ac:dyDescent="0.3">
      <c r="A479" s="3" t="s">
        <v>473</v>
      </c>
      <c r="B479" t="s">
        <v>138</v>
      </c>
      <c r="C479" t="s">
        <v>68</v>
      </c>
    </row>
    <row r="480" spans="1:3" x14ac:dyDescent="0.3">
      <c r="A480" s="3" t="s">
        <v>474</v>
      </c>
      <c r="B480" t="s">
        <v>138</v>
      </c>
      <c r="C480" t="s">
        <v>68</v>
      </c>
    </row>
    <row r="481" spans="1:3" x14ac:dyDescent="0.3">
      <c r="A481" s="3" t="s">
        <v>475</v>
      </c>
      <c r="B481" t="s">
        <v>138</v>
      </c>
      <c r="C481" t="s">
        <v>72</v>
      </c>
    </row>
    <row r="482" spans="1:3" x14ac:dyDescent="0.3">
      <c r="A482" s="3" t="s">
        <v>476</v>
      </c>
      <c r="B482" t="s">
        <v>138</v>
      </c>
      <c r="C482" t="s">
        <v>68</v>
      </c>
    </row>
    <row r="483" spans="1:3" x14ac:dyDescent="0.3">
      <c r="A483" s="3" t="s">
        <v>477</v>
      </c>
      <c r="B483" t="s">
        <v>138</v>
      </c>
      <c r="C483" t="s">
        <v>68</v>
      </c>
    </row>
    <row r="484" spans="1:3" x14ac:dyDescent="0.3">
      <c r="A484" s="3" t="s">
        <v>478</v>
      </c>
      <c r="B484" t="s">
        <v>138</v>
      </c>
      <c r="C484" t="s">
        <v>72</v>
      </c>
    </row>
    <row r="485" spans="1:3" x14ac:dyDescent="0.3">
      <c r="A485" s="3" t="s">
        <v>479</v>
      </c>
      <c r="B485" t="s">
        <v>138</v>
      </c>
      <c r="C485" t="s">
        <v>68</v>
      </c>
    </row>
    <row r="486" spans="1:3" x14ac:dyDescent="0.3">
      <c r="A486" s="3" t="s">
        <v>480</v>
      </c>
      <c r="B486" t="s">
        <v>138</v>
      </c>
    </row>
    <row r="487" spans="1:3" x14ac:dyDescent="0.3">
      <c r="A487" s="3" t="s">
        <v>481</v>
      </c>
      <c r="B487" t="s">
        <v>138</v>
      </c>
    </row>
    <row r="488" spans="1:3" x14ac:dyDescent="0.3">
      <c r="A488" s="3" t="s">
        <v>482</v>
      </c>
      <c r="B488" t="s">
        <v>138</v>
      </c>
    </row>
    <row r="489" spans="1:3" x14ac:dyDescent="0.3">
      <c r="A489" s="4" t="s">
        <v>483</v>
      </c>
      <c r="B489" t="s">
        <v>139</v>
      </c>
    </row>
    <row r="490" spans="1:3" x14ac:dyDescent="0.3">
      <c r="A490" s="4" t="s">
        <v>309</v>
      </c>
      <c r="B490" t="s">
        <v>139</v>
      </c>
    </row>
    <row r="491" spans="1:3" x14ac:dyDescent="0.3">
      <c r="A491" s="4" t="s">
        <v>484</v>
      </c>
      <c r="B491" t="s">
        <v>139</v>
      </c>
    </row>
    <row r="492" spans="1:3" x14ac:dyDescent="0.3">
      <c r="A492" s="4" t="s">
        <v>485</v>
      </c>
      <c r="B492" t="s">
        <v>139</v>
      </c>
    </row>
    <row r="493" spans="1:3" x14ac:dyDescent="0.3">
      <c r="A493" s="4" t="s">
        <v>247</v>
      </c>
      <c r="B493" t="s">
        <v>139</v>
      </c>
    </row>
    <row r="494" spans="1:3" x14ac:dyDescent="0.3">
      <c r="A494" s="4" t="s">
        <v>486</v>
      </c>
      <c r="B494" t="s">
        <v>139</v>
      </c>
    </row>
    <row r="495" spans="1:3" x14ac:dyDescent="0.3">
      <c r="A495" s="4" t="s">
        <v>317</v>
      </c>
      <c r="B495" t="s">
        <v>139</v>
      </c>
    </row>
    <row r="496" spans="1:3" x14ac:dyDescent="0.3">
      <c r="A496" s="4" t="s">
        <v>487</v>
      </c>
      <c r="B496" t="s">
        <v>139</v>
      </c>
    </row>
    <row r="497" spans="1:3" x14ac:dyDescent="0.3">
      <c r="A497" s="5" t="s">
        <v>305</v>
      </c>
      <c r="B497" t="s">
        <v>139</v>
      </c>
    </row>
    <row r="498" spans="1:3" x14ac:dyDescent="0.3">
      <c r="A498" s="4" t="s">
        <v>488</v>
      </c>
      <c r="B498" t="s">
        <v>139</v>
      </c>
    </row>
    <row r="499" spans="1:3" x14ac:dyDescent="0.3">
      <c r="A499" s="4" t="s">
        <v>382</v>
      </c>
      <c r="B499" t="s">
        <v>139</v>
      </c>
    </row>
    <row r="500" spans="1:3" x14ac:dyDescent="0.3">
      <c r="A500" s="4" t="s">
        <v>489</v>
      </c>
      <c r="B500" t="s">
        <v>140</v>
      </c>
      <c r="C500" t="s">
        <v>68</v>
      </c>
    </row>
    <row r="501" spans="1:3" x14ac:dyDescent="0.3">
      <c r="A501" s="4" t="s">
        <v>490</v>
      </c>
      <c r="B501" t="s">
        <v>140</v>
      </c>
      <c r="C501" t="s">
        <v>68</v>
      </c>
    </row>
    <row r="502" spans="1:3" x14ac:dyDescent="0.3">
      <c r="A502" s="6" t="s">
        <v>491</v>
      </c>
      <c r="B502" t="s">
        <v>141</v>
      </c>
      <c r="C502" t="s">
        <v>68</v>
      </c>
    </row>
    <row r="503" spans="1:3" x14ac:dyDescent="0.3">
      <c r="A503" s="6" t="s">
        <v>492</v>
      </c>
      <c r="B503" t="s">
        <v>141</v>
      </c>
      <c r="C503" t="s">
        <v>68</v>
      </c>
    </row>
    <row r="504" spans="1:3" x14ac:dyDescent="0.3">
      <c r="A504" s="6" t="s">
        <v>493</v>
      </c>
      <c r="B504" t="s">
        <v>141</v>
      </c>
      <c r="C504" t="s">
        <v>72</v>
      </c>
    </row>
    <row r="505" spans="1:3" x14ac:dyDescent="0.3">
      <c r="A505" s="4" t="s">
        <v>494</v>
      </c>
      <c r="B505" t="s">
        <v>141</v>
      </c>
      <c r="C505" t="s">
        <v>69</v>
      </c>
    </row>
    <row r="506" spans="1:3" x14ac:dyDescent="0.3">
      <c r="A506" s="6" t="s">
        <v>495</v>
      </c>
      <c r="B506" t="s">
        <v>141</v>
      </c>
      <c r="C506" t="s">
        <v>74</v>
      </c>
    </row>
    <row r="507" spans="1:3" x14ac:dyDescent="0.3">
      <c r="A507" s="4" t="s">
        <v>496</v>
      </c>
      <c r="B507" t="s">
        <v>141</v>
      </c>
      <c r="C507" t="s">
        <v>68</v>
      </c>
    </row>
    <row r="508" spans="1:3" x14ac:dyDescent="0.3">
      <c r="A508" s="4" t="s">
        <v>497</v>
      </c>
      <c r="B508" t="s">
        <v>141</v>
      </c>
    </row>
    <row r="509" spans="1:3" x14ac:dyDescent="0.3">
      <c r="A509" s="4" t="s">
        <v>498</v>
      </c>
      <c r="B509" t="s">
        <v>141</v>
      </c>
    </row>
    <row r="510" spans="1:3" x14ac:dyDescent="0.3">
      <c r="A510" s="4" t="s">
        <v>499</v>
      </c>
      <c r="B510" t="s">
        <v>142</v>
      </c>
      <c r="C510" t="s">
        <v>68</v>
      </c>
    </row>
    <row r="511" spans="1:3" x14ac:dyDescent="0.3">
      <c r="A511" s="4" t="s">
        <v>500</v>
      </c>
      <c r="B511" t="s">
        <v>142</v>
      </c>
      <c r="C511" t="s">
        <v>72</v>
      </c>
    </row>
    <row r="512" spans="1:3" x14ac:dyDescent="0.3">
      <c r="A512" s="4" t="s">
        <v>501</v>
      </c>
      <c r="B512" t="s">
        <v>142</v>
      </c>
      <c r="C512" t="s">
        <v>74</v>
      </c>
    </row>
    <row r="513" spans="1:3" x14ac:dyDescent="0.3">
      <c r="A513" s="4" t="s">
        <v>502</v>
      </c>
      <c r="B513" t="s">
        <v>142</v>
      </c>
      <c r="C513" t="s">
        <v>68</v>
      </c>
    </row>
    <row r="514" spans="1:3" x14ac:dyDescent="0.3">
      <c r="A514" s="4" t="s">
        <v>503</v>
      </c>
      <c r="B514" t="s">
        <v>142</v>
      </c>
      <c r="C514" t="s">
        <v>68</v>
      </c>
    </row>
    <row r="515" spans="1:3" x14ac:dyDescent="0.3">
      <c r="A515" s="4" t="s">
        <v>504</v>
      </c>
      <c r="B515" t="s">
        <v>142</v>
      </c>
      <c r="C515" t="s">
        <v>68</v>
      </c>
    </row>
    <row r="516" spans="1:3" x14ac:dyDescent="0.3">
      <c r="A516" s="4" t="s">
        <v>505</v>
      </c>
      <c r="B516" t="s">
        <v>142</v>
      </c>
      <c r="C516" t="s">
        <v>68</v>
      </c>
    </row>
    <row r="517" spans="1:3" x14ac:dyDescent="0.3">
      <c r="A517" s="4" t="s">
        <v>506</v>
      </c>
      <c r="B517" t="s">
        <v>143</v>
      </c>
    </row>
    <row r="518" spans="1:3" x14ac:dyDescent="0.3">
      <c r="A518" s="4" t="s">
        <v>507</v>
      </c>
      <c r="B518" t="s">
        <v>144</v>
      </c>
    </row>
    <row r="519" spans="1:3" x14ac:dyDescent="0.3">
      <c r="A519" s="4" t="s">
        <v>508</v>
      </c>
      <c r="B519" t="s">
        <v>144</v>
      </c>
    </row>
    <row r="520" spans="1:3" x14ac:dyDescent="0.3">
      <c r="A520" s="4" t="s">
        <v>509</v>
      </c>
      <c r="B520" t="s">
        <v>144</v>
      </c>
    </row>
    <row r="521" spans="1:3" x14ac:dyDescent="0.3">
      <c r="A521" s="6" t="s">
        <v>510</v>
      </c>
      <c r="B521" t="s">
        <v>145</v>
      </c>
    </row>
    <row r="522" spans="1:3" x14ac:dyDescent="0.3">
      <c r="A522" s="6" t="s">
        <v>200</v>
      </c>
      <c r="B522" t="s">
        <v>146</v>
      </c>
    </row>
    <row r="523" spans="1:3" x14ac:dyDescent="0.3">
      <c r="A523" s="6" t="s">
        <v>201</v>
      </c>
      <c r="B523" t="s">
        <v>146</v>
      </c>
    </row>
    <row r="524" spans="1:3" x14ac:dyDescent="0.3">
      <c r="A524" s="4" t="s">
        <v>203</v>
      </c>
      <c r="B524" t="s">
        <v>147</v>
      </c>
    </row>
    <row r="525" spans="1:3" x14ac:dyDescent="0.3">
      <c r="A525" s="6" t="s">
        <v>511</v>
      </c>
      <c r="B525" t="s">
        <v>147</v>
      </c>
    </row>
    <row r="526" spans="1:3" x14ac:dyDescent="0.3">
      <c r="A526" s="6" t="s">
        <v>512</v>
      </c>
      <c r="B526" t="s">
        <v>148</v>
      </c>
    </row>
    <row r="527" spans="1:3" x14ac:dyDescent="0.3">
      <c r="A527" s="4" t="s">
        <v>513</v>
      </c>
      <c r="B527" t="s">
        <v>148</v>
      </c>
    </row>
    <row r="528" spans="1:3" x14ac:dyDescent="0.3">
      <c r="A528" s="4" t="s">
        <v>514</v>
      </c>
      <c r="B528" t="s">
        <v>149</v>
      </c>
    </row>
    <row r="529" spans="1:2" x14ac:dyDescent="0.3">
      <c r="A529" s="6" t="s">
        <v>515</v>
      </c>
      <c r="B529" t="s">
        <v>149</v>
      </c>
    </row>
    <row r="530" spans="1:2" x14ac:dyDescent="0.3">
      <c r="A530" s="6" t="s">
        <v>516</v>
      </c>
      <c r="B530" t="s">
        <v>154</v>
      </c>
    </row>
    <row r="531" spans="1:2" x14ac:dyDescent="0.3">
      <c r="A531" s="4" t="s">
        <v>206</v>
      </c>
      <c r="B531" t="s">
        <v>154</v>
      </c>
    </row>
    <row r="532" spans="1:2" x14ac:dyDescent="0.3">
      <c r="A532" s="4" t="s">
        <v>207</v>
      </c>
      <c r="B532" t="s">
        <v>154</v>
      </c>
    </row>
    <row r="533" spans="1:2" x14ac:dyDescent="0.3">
      <c r="A533" s="4" t="s">
        <v>39</v>
      </c>
      <c r="B533" t="s">
        <v>154</v>
      </c>
    </row>
    <row r="534" spans="1:2" x14ac:dyDescent="0.3">
      <c r="A534" s="4" t="str">
        <f t="shared" ref="A534:A562" si="0">A215</f>
        <v>Office Expense</v>
      </c>
      <c r="B534" t="s">
        <v>107</v>
      </c>
    </row>
    <row r="535" spans="1:2" x14ac:dyDescent="0.3">
      <c r="A535" s="4" t="str">
        <f t="shared" si="0"/>
        <v>Vehicle Expense</v>
      </c>
      <c r="B535" t="s">
        <v>107</v>
      </c>
    </row>
    <row r="536" spans="1:2" x14ac:dyDescent="0.3">
      <c r="A536" s="4" t="str">
        <f t="shared" si="0"/>
        <v>Marketing</v>
      </c>
      <c r="B536" t="s">
        <v>107</v>
      </c>
    </row>
    <row r="537" spans="1:2" x14ac:dyDescent="0.3">
      <c r="A537" s="4" t="str">
        <f t="shared" si="0"/>
        <v>Property Expense</v>
      </c>
      <c r="B537" t="s">
        <v>107</v>
      </c>
    </row>
    <row r="538" spans="1:2" x14ac:dyDescent="0.3">
      <c r="A538" s="4" t="str">
        <f t="shared" si="0"/>
        <v>Utilities</v>
      </c>
      <c r="B538" t="s">
        <v>107</v>
      </c>
    </row>
    <row r="539" spans="1:2" x14ac:dyDescent="0.3">
      <c r="A539" s="4" t="str">
        <f t="shared" si="0"/>
        <v>Telephone/Internet</v>
      </c>
      <c r="B539" t="s">
        <v>107</v>
      </c>
    </row>
    <row r="540" spans="1:2" x14ac:dyDescent="0.3">
      <c r="A540" s="4" t="str">
        <f t="shared" si="0"/>
        <v>Bank and Card Charges</v>
      </c>
      <c r="B540" t="s">
        <v>107</v>
      </c>
    </row>
    <row r="541" spans="1:2" x14ac:dyDescent="0.3">
      <c r="A541" s="4" t="str">
        <f t="shared" si="0"/>
        <v>Accounting Management Fee</v>
      </c>
      <c r="B541" t="s">
        <v>107</v>
      </c>
    </row>
    <row r="542" spans="1:2" x14ac:dyDescent="0.3">
      <c r="A542" s="4" t="str">
        <f t="shared" si="0"/>
        <v>Professional Fees</v>
      </c>
      <c r="B542" t="s">
        <v>107</v>
      </c>
    </row>
    <row r="543" spans="1:2" x14ac:dyDescent="0.3">
      <c r="A543" s="4" t="str">
        <f t="shared" si="0"/>
        <v>Insurance</v>
      </c>
      <c r="B543" t="s">
        <v>107</v>
      </c>
    </row>
    <row r="544" spans="1:2" x14ac:dyDescent="0.3">
      <c r="A544" s="4" t="str">
        <f t="shared" si="0"/>
        <v>Taxes</v>
      </c>
      <c r="B544" t="s">
        <v>107</v>
      </c>
    </row>
    <row r="545" spans="1:2" x14ac:dyDescent="0.3">
      <c r="A545" s="4" t="str">
        <f t="shared" si="0"/>
        <v>Conolift Rent</v>
      </c>
      <c r="B545" t="s">
        <v>107</v>
      </c>
    </row>
    <row r="546" spans="1:2" x14ac:dyDescent="0.3">
      <c r="A546" s="4" t="str">
        <f t="shared" si="0"/>
        <v>Entertainment</v>
      </c>
      <c r="B546" t="s">
        <v>107</v>
      </c>
    </row>
    <row r="547" spans="1:2" x14ac:dyDescent="0.3">
      <c r="A547" s="4" t="str">
        <f t="shared" si="0"/>
        <v>Travel Expense</v>
      </c>
      <c r="B547" t="s">
        <v>107</v>
      </c>
    </row>
    <row r="548" spans="1:2" x14ac:dyDescent="0.3">
      <c r="A548" s="4" t="str">
        <f t="shared" si="0"/>
        <v>Uncovered Wet Slips</v>
      </c>
      <c r="B548" t="s">
        <v>107</v>
      </c>
    </row>
    <row r="549" spans="1:2" x14ac:dyDescent="0.3">
      <c r="A549" s="4" t="str">
        <f t="shared" si="0"/>
        <v>Covered Wet Slips</v>
      </c>
      <c r="B549" t="s">
        <v>107</v>
      </c>
    </row>
    <row r="550" spans="1:2" x14ac:dyDescent="0.3">
      <c r="A550" s="4" t="str">
        <f t="shared" si="0"/>
        <v>Out-of-House Boat Club Storage</v>
      </c>
      <c r="B550" t="s">
        <v>107</v>
      </c>
    </row>
    <row r="551" spans="1:2" x14ac:dyDescent="0.3">
      <c r="A551" s="4" t="str">
        <f t="shared" si="0"/>
        <v>Lift Slips</v>
      </c>
      <c r="B551" t="s">
        <v>107</v>
      </c>
    </row>
    <row r="552" spans="1:2" x14ac:dyDescent="0.3">
      <c r="A552" s="4" t="str">
        <f t="shared" si="0"/>
        <v>Indoor Racks</v>
      </c>
      <c r="B552" t="s">
        <v>107</v>
      </c>
    </row>
    <row r="553" spans="1:2" x14ac:dyDescent="0.3">
      <c r="A553" s="4" t="str">
        <f t="shared" si="0"/>
        <v>Outdoor Racks</v>
      </c>
      <c r="B553" t="s">
        <v>107</v>
      </c>
    </row>
    <row r="554" spans="1:2" x14ac:dyDescent="0.3">
      <c r="A554" s="4" t="str">
        <f t="shared" si="0"/>
        <v>Day/Month Land Storage</v>
      </c>
      <c r="B554" t="s">
        <v>107</v>
      </c>
    </row>
    <row r="555" spans="1:2" x14ac:dyDescent="0.3">
      <c r="A555" s="4" t="str">
        <f t="shared" si="0"/>
        <v>Winter Land Storage</v>
      </c>
      <c r="B555" t="s">
        <v>107</v>
      </c>
    </row>
    <row r="556" spans="1:2" x14ac:dyDescent="0.3">
      <c r="A556" s="4" t="str">
        <f t="shared" si="0"/>
        <v>Jet Skis</v>
      </c>
      <c r="B556" t="s">
        <v>107</v>
      </c>
    </row>
    <row r="557" spans="1:2" x14ac:dyDescent="0.3">
      <c r="A557" s="4" t="str">
        <f t="shared" si="0"/>
        <v>RV Pads</v>
      </c>
      <c r="B557" t="s">
        <v>107</v>
      </c>
    </row>
    <row r="558" spans="1:2" x14ac:dyDescent="0.3">
      <c r="A558" s="4" t="str">
        <f t="shared" si="0"/>
        <v>Transients</v>
      </c>
      <c r="B558" t="s">
        <v>107</v>
      </c>
    </row>
    <row r="559" spans="1:2" x14ac:dyDescent="0.3">
      <c r="A559" s="4" t="str">
        <f t="shared" si="0"/>
        <v>Total Fuel Sales (Not Broken Out)</v>
      </c>
      <c r="B559" t="s">
        <v>107</v>
      </c>
    </row>
    <row r="560" spans="1:2" x14ac:dyDescent="0.3">
      <c r="A560" s="4" t="str">
        <f t="shared" si="0"/>
        <v>Slipholder Fuel</v>
      </c>
      <c r="B560" t="s">
        <v>107</v>
      </c>
    </row>
    <row r="561" spans="1:2" x14ac:dyDescent="0.3">
      <c r="A561" s="4" t="str">
        <f t="shared" si="0"/>
        <v>Transient Fuel</v>
      </c>
      <c r="B561" t="s">
        <v>107</v>
      </c>
    </row>
    <row r="562" spans="1:2" x14ac:dyDescent="0.3">
      <c r="A562" s="4" t="str">
        <f t="shared" si="0"/>
        <v>Boat Club Fuel</v>
      </c>
      <c r="B562" t="s">
        <v>107</v>
      </c>
    </row>
    <row r="563" spans="1:2" x14ac:dyDescent="0.3">
      <c r="A563" s="4" t="s">
        <v>517</v>
      </c>
      <c r="B563" t="s">
        <v>107</v>
      </c>
    </row>
    <row r="564" spans="1:2" x14ac:dyDescent="0.3">
      <c r="A564" s="4" t="s">
        <v>518</v>
      </c>
      <c r="B564" t="s">
        <v>107</v>
      </c>
    </row>
    <row r="565" spans="1:2" x14ac:dyDescent="0.3">
      <c r="A565" s="4" t="s">
        <v>519</v>
      </c>
      <c r="B565" t="s">
        <v>107</v>
      </c>
    </row>
    <row r="566" spans="1:2" x14ac:dyDescent="0.3">
      <c r="A566" s="4" t="s">
        <v>520</v>
      </c>
      <c r="B566" t="s">
        <v>107</v>
      </c>
    </row>
    <row r="567" spans="1:2" x14ac:dyDescent="0.3">
      <c r="A567" s="4" t="s">
        <v>521</v>
      </c>
      <c r="B567" t="s">
        <v>109</v>
      </c>
    </row>
    <row r="568" spans="1:2" x14ac:dyDescent="0.3">
      <c r="A568" s="4" t="s">
        <v>522</v>
      </c>
      <c r="B568" t="s">
        <v>109</v>
      </c>
    </row>
    <row r="569" spans="1:2" x14ac:dyDescent="0.3">
      <c r="A569" s="4" t="s">
        <v>523</v>
      </c>
      <c r="B569" t="s">
        <v>109</v>
      </c>
    </row>
    <row r="570" spans="1:2" x14ac:dyDescent="0.3">
      <c r="A570" s="4" t="s">
        <v>524</v>
      </c>
      <c r="B570" t="s">
        <v>109</v>
      </c>
    </row>
    <row r="571" spans="1:2" x14ac:dyDescent="0.3">
      <c r="A571" s="4" t="s">
        <v>525</v>
      </c>
      <c r="B571" t="s">
        <v>109</v>
      </c>
    </row>
    <row r="572" spans="1:2" x14ac:dyDescent="0.3">
      <c r="A572" s="4" t="s">
        <v>526</v>
      </c>
      <c r="B572" t="s">
        <v>109</v>
      </c>
    </row>
    <row r="573" spans="1:2" x14ac:dyDescent="0.3">
      <c r="A573" s="4" t="s">
        <v>527</v>
      </c>
      <c r="B573" t="s">
        <v>109</v>
      </c>
    </row>
    <row r="574" spans="1:2" x14ac:dyDescent="0.3">
      <c r="A574" s="4" t="s">
        <v>298</v>
      </c>
      <c r="B574" t="s">
        <v>110</v>
      </c>
    </row>
    <row r="575" spans="1:2" x14ac:dyDescent="0.3">
      <c r="A575" s="4" t="s">
        <v>529</v>
      </c>
      <c r="B575" t="s">
        <v>111</v>
      </c>
    </row>
    <row r="576" spans="1:2" x14ac:dyDescent="0.3">
      <c r="A576" s="4" t="s">
        <v>528</v>
      </c>
      <c r="B576" t="s">
        <v>111</v>
      </c>
    </row>
    <row r="577" spans="1:2" x14ac:dyDescent="0.3">
      <c r="A577" s="4" t="s">
        <v>530</v>
      </c>
      <c r="B577" t="s">
        <v>110</v>
      </c>
    </row>
    <row r="578" spans="1:2" x14ac:dyDescent="0.3">
      <c r="A578" s="4" t="s">
        <v>531</v>
      </c>
      <c r="B578" t="s">
        <v>113</v>
      </c>
    </row>
    <row r="579" spans="1:2" x14ac:dyDescent="0.3">
      <c r="A579" s="4" t="s">
        <v>532</v>
      </c>
      <c r="B579" t="s">
        <v>123</v>
      </c>
    </row>
    <row r="580" spans="1:2" x14ac:dyDescent="0.3">
      <c r="A580" s="4" t="s">
        <v>533</v>
      </c>
      <c r="B580" t="s">
        <v>123</v>
      </c>
    </row>
    <row r="581" spans="1:2" x14ac:dyDescent="0.3">
      <c r="A581" s="4" t="s">
        <v>534</v>
      </c>
      <c r="B581" t="s">
        <v>123</v>
      </c>
    </row>
    <row r="582" spans="1:2" x14ac:dyDescent="0.3">
      <c r="A582" s="4" t="s">
        <v>535</v>
      </c>
      <c r="B582" t="s">
        <v>138</v>
      </c>
    </row>
    <row r="583" spans="1:2" x14ac:dyDescent="0.3">
      <c r="A583" s="4" t="s">
        <v>536</v>
      </c>
      <c r="B583" t="s">
        <v>138</v>
      </c>
    </row>
    <row r="584" spans="1:2" x14ac:dyDescent="0.3">
      <c r="A584" s="4" t="s">
        <v>237</v>
      </c>
      <c r="B584" t="s">
        <v>138</v>
      </c>
    </row>
    <row r="585" spans="1:2" x14ac:dyDescent="0.3">
      <c r="A585" s="4" t="s">
        <v>179</v>
      </c>
      <c r="B585" t="s">
        <v>138</v>
      </c>
    </row>
    <row r="586" spans="1:2" x14ac:dyDescent="0.3">
      <c r="A586" s="4" t="s">
        <v>537</v>
      </c>
      <c r="B586" t="s">
        <v>138</v>
      </c>
    </row>
    <row r="587" spans="1:2" x14ac:dyDescent="0.3">
      <c r="A587" s="4" t="s">
        <v>538</v>
      </c>
      <c r="B587" t="s">
        <v>139</v>
      </c>
    </row>
    <row r="588" spans="1:2" x14ac:dyDescent="0.3">
      <c r="A588" s="4" t="s">
        <v>539</v>
      </c>
      <c r="B588" t="s">
        <v>139</v>
      </c>
    </row>
    <row r="589" spans="1:2" x14ac:dyDescent="0.3">
      <c r="A589" s="4" t="s">
        <v>540</v>
      </c>
      <c r="B589" t="s">
        <v>139</v>
      </c>
    </row>
    <row r="590" spans="1:2" x14ac:dyDescent="0.3">
      <c r="A590" s="4" t="s">
        <v>541</v>
      </c>
      <c r="B590" t="s">
        <v>139</v>
      </c>
    </row>
    <row r="591" spans="1:2" x14ac:dyDescent="0.3">
      <c r="A591" s="4" t="s">
        <v>484</v>
      </c>
      <c r="B591" t="s">
        <v>139</v>
      </c>
    </row>
    <row r="592" spans="1:2" x14ac:dyDescent="0.3">
      <c r="A592" s="4" t="s">
        <v>186</v>
      </c>
      <c r="B592" t="s">
        <v>139</v>
      </c>
    </row>
    <row r="593" spans="1:2" x14ac:dyDescent="0.3">
      <c r="A593" s="4" t="s">
        <v>232</v>
      </c>
      <c r="B593" t="s">
        <v>139</v>
      </c>
    </row>
    <row r="594" spans="1:2" x14ac:dyDescent="0.3">
      <c r="A594" s="4" t="s">
        <v>311</v>
      </c>
      <c r="B594" t="s">
        <v>140</v>
      </c>
    </row>
    <row r="595" spans="1:2" x14ac:dyDescent="0.3">
      <c r="A595" s="4" t="s">
        <v>263</v>
      </c>
      <c r="B595" t="s">
        <v>141</v>
      </c>
    </row>
    <row r="596" spans="1:2" x14ac:dyDescent="0.3">
      <c r="A596" s="4" t="s">
        <v>542</v>
      </c>
      <c r="B596" t="s">
        <v>141</v>
      </c>
    </row>
    <row r="597" spans="1:2" x14ac:dyDescent="0.3">
      <c r="A597" s="4" t="s">
        <v>543</v>
      </c>
      <c r="B597" t="s">
        <v>141</v>
      </c>
    </row>
    <row r="598" spans="1:2" x14ac:dyDescent="0.3">
      <c r="A598" s="4" t="s">
        <v>544</v>
      </c>
      <c r="B598" t="s">
        <v>141</v>
      </c>
    </row>
    <row r="599" spans="1:2" x14ac:dyDescent="0.3">
      <c r="A599" s="4" t="s">
        <v>545</v>
      </c>
      <c r="B599" t="s">
        <v>141</v>
      </c>
    </row>
    <row r="600" spans="1:2" x14ac:dyDescent="0.3">
      <c r="A600" s="4" t="s">
        <v>546</v>
      </c>
      <c r="B600" t="s">
        <v>141</v>
      </c>
    </row>
    <row r="601" spans="1:2" x14ac:dyDescent="0.3">
      <c r="A601" s="4" t="s">
        <v>547</v>
      </c>
      <c r="B601" t="s">
        <v>141</v>
      </c>
    </row>
    <row r="602" spans="1:2" x14ac:dyDescent="0.3">
      <c r="A602" s="4" t="s">
        <v>548</v>
      </c>
      <c r="B602" t="s">
        <v>141</v>
      </c>
    </row>
    <row r="603" spans="1:2" x14ac:dyDescent="0.3">
      <c r="A603" s="4" t="s">
        <v>549</v>
      </c>
      <c r="B603" t="s">
        <v>141</v>
      </c>
    </row>
    <row r="604" spans="1:2" x14ac:dyDescent="0.3">
      <c r="A604" s="4" t="s">
        <v>550</v>
      </c>
      <c r="B604" t="s">
        <v>141</v>
      </c>
    </row>
    <row r="605" spans="1:2" x14ac:dyDescent="0.3">
      <c r="A605" s="4" t="s">
        <v>551</v>
      </c>
      <c r="B605" t="s">
        <v>141</v>
      </c>
    </row>
    <row r="606" spans="1:2" x14ac:dyDescent="0.3">
      <c r="A606" s="4" t="s">
        <v>552</v>
      </c>
      <c r="B606" t="s">
        <v>141</v>
      </c>
    </row>
    <row r="607" spans="1:2" x14ac:dyDescent="0.3">
      <c r="A607" s="4" t="s">
        <v>193</v>
      </c>
      <c r="B607" t="s">
        <v>142</v>
      </c>
    </row>
    <row r="608" spans="1:2" x14ac:dyDescent="0.3">
      <c r="A608" s="4" t="s">
        <v>553</v>
      </c>
      <c r="B608" t="s">
        <v>142</v>
      </c>
    </row>
    <row r="609" spans="1:2" x14ac:dyDescent="0.3">
      <c r="A609" s="4" t="s">
        <v>554</v>
      </c>
      <c r="B609" t="s">
        <v>142</v>
      </c>
    </row>
    <row r="610" spans="1:2" x14ac:dyDescent="0.3">
      <c r="A610" s="4" t="s">
        <v>195</v>
      </c>
      <c r="B610" t="s">
        <v>142</v>
      </c>
    </row>
    <row r="611" spans="1:2" x14ac:dyDescent="0.3">
      <c r="A611" s="4" t="s">
        <v>32</v>
      </c>
      <c r="B611" t="s">
        <v>143</v>
      </c>
    </row>
    <row r="612" spans="1:2" x14ac:dyDescent="0.3">
      <c r="A612" s="4" t="s">
        <v>555</v>
      </c>
      <c r="B612" t="s">
        <v>143</v>
      </c>
    </row>
    <row r="613" spans="1:2" x14ac:dyDescent="0.3">
      <c r="A613" s="4" t="s">
        <v>271</v>
      </c>
      <c r="B613" t="s">
        <v>144</v>
      </c>
    </row>
    <row r="614" spans="1:2" x14ac:dyDescent="0.3">
      <c r="A614" s="4" t="s">
        <v>556</v>
      </c>
      <c r="B614" t="s">
        <v>144</v>
      </c>
    </row>
    <row r="615" spans="1:2" x14ac:dyDescent="0.3">
      <c r="A615" s="4" t="s">
        <v>557</v>
      </c>
      <c r="B615" t="s">
        <v>144</v>
      </c>
    </row>
    <row r="616" spans="1:2" x14ac:dyDescent="0.3">
      <c r="A616" s="4" t="s">
        <v>33</v>
      </c>
      <c r="B616" t="s">
        <v>144</v>
      </c>
    </row>
    <row r="617" spans="1:2" x14ac:dyDescent="0.3">
      <c r="A617" s="4" t="s">
        <v>200</v>
      </c>
      <c r="B617" t="s">
        <v>146</v>
      </c>
    </row>
    <row r="618" spans="1:2" x14ac:dyDescent="0.3">
      <c r="A618" s="4" t="s">
        <v>558</v>
      </c>
      <c r="B618" t="s">
        <v>146</v>
      </c>
    </row>
    <row r="619" spans="1:2" x14ac:dyDescent="0.3">
      <c r="A619" s="4" t="s">
        <v>559</v>
      </c>
      <c r="B619" t="s">
        <v>146</v>
      </c>
    </row>
    <row r="620" spans="1:2" x14ac:dyDescent="0.3">
      <c r="A620" s="4" t="s">
        <v>560</v>
      </c>
      <c r="B620" t="s">
        <v>146</v>
      </c>
    </row>
    <row r="621" spans="1:2" x14ac:dyDescent="0.3">
      <c r="A621" s="4" t="s">
        <v>561</v>
      </c>
      <c r="B621" t="s">
        <v>146</v>
      </c>
    </row>
    <row r="622" spans="1:2" x14ac:dyDescent="0.3">
      <c r="A622" s="4" t="s">
        <v>202</v>
      </c>
      <c r="B622" t="s">
        <v>146</v>
      </c>
    </row>
    <row r="623" spans="1:2" x14ac:dyDescent="0.3">
      <c r="A623" s="4" t="s">
        <v>562</v>
      </c>
      <c r="B623" t="s">
        <v>146</v>
      </c>
    </row>
    <row r="624" spans="1:2" x14ac:dyDescent="0.3">
      <c r="A624" s="4" t="s">
        <v>542</v>
      </c>
      <c r="B624" t="s">
        <v>146</v>
      </c>
    </row>
    <row r="625" spans="1:2" x14ac:dyDescent="0.3">
      <c r="A625" s="4" t="s">
        <v>563</v>
      </c>
      <c r="B625" t="s">
        <v>146</v>
      </c>
    </row>
    <row r="626" spans="1:2" x14ac:dyDescent="0.3">
      <c r="A626" s="4" t="s">
        <v>542</v>
      </c>
      <c r="B626" t="s">
        <v>146</v>
      </c>
    </row>
    <row r="627" spans="1:2" x14ac:dyDescent="0.3">
      <c r="A627" s="4" t="s">
        <v>564</v>
      </c>
      <c r="B627" t="s">
        <v>147</v>
      </c>
    </row>
    <row r="628" spans="1:2" x14ac:dyDescent="0.3">
      <c r="A628" s="4" t="s">
        <v>565</v>
      </c>
      <c r="B628" t="s">
        <v>147</v>
      </c>
    </row>
    <row r="629" spans="1:2" x14ac:dyDescent="0.3">
      <c r="A629" s="4" t="s">
        <v>566</v>
      </c>
      <c r="B629" t="s">
        <v>147</v>
      </c>
    </row>
    <row r="630" spans="1:2" x14ac:dyDescent="0.3">
      <c r="A630" s="4" t="s">
        <v>567</v>
      </c>
      <c r="B630" t="s">
        <v>148</v>
      </c>
    </row>
    <row r="631" spans="1:2" x14ac:dyDescent="0.3">
      <c r="A631" s="4" t="s">
        <v>568</v>
      </c>
      <c r="B631" t="s">
        <v>148</v>
      </c>
    </row>
    <row r="632" spans="1:2" x14ac:dyDescent="0.3">
      <c r="A632" s="4" t="s">
        <v>281</v>
      </c>
      <c r="B632" t="s">
        <v>149</v>
      </c>
    </row>
    <row r="633" spans="1:2" x14ac:dyDescent="0.3">
      <c r="A633" s="4" t="s">
        <v>569</v>
      </c>
      <c r="B633" t="s">
        <v>154</v>
      </c>
    </row>
    <row r="634" spans="1:2" x14ac:dyDescent="0.3">
      <c r="A634" s="4" t="s">
        <v>570</v>
      </c>
      <c r="B634" t="s">
        <v>154</v>
      </c>
    </row>
    <row r="635" spans="1:2" x14ac:dyDescent="0.3">
      <c r="A635" s="4" t="s">
        <v>571</v>
      </c>
      <c r="B635" t="s">
        <v>154</v>
      </c>
    </row>
    <row r="636" spans="1:2" x14ac:dyDescent="0.3">
      <c r="A636" s="4" t="s">
        <v>388</v>
      </c>
      <c r="B636" t="s">
        <v>154</v>
      </c>
    </row>
    <row r="637" spans="1:2" x14ac:dyDescent="0.3">
      <c r="A637" s="4" t="s">
        <v>206</v>
      </c>
      <c r="B637" t="s">
        <v>154</v>
      </c>
    </row>
    <row r="638" spans="1:2" x14ac:dyDescent="0.3">
      <c r="A638" s="4" t="s">
        <v>205</v>
      </c>
      <c r="B638" t="s">
        <v>154</v>
      </c>
    </row>
    <row r="639" spans="1:2" x14ac:dyDescent="0.3">
      <c r="A639" s="4" t="str">
        <f t="shared" ref="A639:A663" si="1">A320</f>
        <v>Linen/Laundry/Cleaning</v>
      </c>
      <c r="B639" t="s">
        <v>107</v>
      </c>
    </row>
    <row r="640" spans="1:2" x14ac:dyDescent="0.3">
      <c r="A640" s="4" t="str">
        <f t="shared" si="1"/>
        <v>Office Expense</v>
      </c>
      <c r="B640" t="s">
        <v>107</v>
      </c>
    </row>
    <row r="641" spans="1:2" x14ac:dyDescent="0.3">
      <c r="A641" s="4" t="str">
        <f t="shared" si="1"/>
        <v>Supplies</v>
      </c>
      <c r="B641" t="s">
        <v>107</v>
      </c>
    </row>
    <row r="642" spans="1:2" x14ac:dyDescent="0.3">
      <c r="A642" s="4" t="str">
        <f t="shared" si="1"/>
        <v>Dues &amp; Subscriptions</v>
      </c>
      <c r="B642" t="s">
        <v>107</v>
      </c>
    </row>
    <row r="643" spans="1:2" x14ac:dyDescent="0.3">
      <c r="A643" s="4" t="str">
        <f t="shared" si="1"/>
        <v>Payments Slip Owner</v>
      </c>
      <c r="B643" t="s">
        <v>107</v>
      </c>
    </row>
    <row r="644" spans="1:2" x14ac:dyDescent="0.3">
      <c r="A644" s="4" t="str">
        <f t="shared" si="1"/>
        <v>Marina Assessments (Company Portion)</v>
      </c>
      <c r="B644" t="s">
        <v>107</v>
      </c>
    </row>
    <row r="645" spans="1:2" x14ac:dyDescent="0.3">
      <c r="A645" s="4" t="str">
        <f t="shared" si="1"/>
        <v>Office Expense</v>
      </c>
      <c r="B645" t="s">
        <v>107</v>
      </c>
    </row>
    <row r="646" spans="1:2" x14ac:dyDescent="0.3">
      <c r="A646" s="4" t="str">
        <f t="shared" si="1"/>
        <v>Marina CC Discounts</v>
      </c>
      <c r="B646" t="s">
        <v>107</v>
      </c>
    </row>
    <row r="647" spans="1:2" x14ac:dyDescent="0.3">
      <c r="A647" s="4" t="str">
        <f t="shared" si="1"/>
        <v>Bad Debts</v>
      </c>
      <c r="B647" t="s">
        <v>107</v>
      </c>
    </row>
    <row r="648" spans="1:2" x14ac:dyDescent="0.3">
      <c r="A648" s="4" t="str">
        <f t="shared" si="1"/>
        <v>Donations/Contributions</v>
      </c>
      <c r="B648" t="s">
        <v>107</v>
      </c>
    </row>
    <row r="649" spans="1:2" x14ac:dyDescent="0.3">
      <c r="A649" s="4" t="str">
        <f t="shared" si="1"/>
        <v>Advertising</v>
      </c>
      <c r="B649" t="s">
        <v>107</v>
      </c>
    </row>
    <row r="650" spans="1:2" x14ac:dyDescent="0.3">
      <c r="A650" s="4" t="str">
        <f t="shared" si="1"/>
        <v>Promotions</v>
      </c>
      <c r="B650" t="s">
        <v>107</v>
      </c>
    </row>
    <row r="651" spans="1:2" x14ac:dyDescent="0.3">
      <c r="A651" s="4" t="str">
        <f t="shared" si="1"/>
        <v>Professional Entertainers</v>
      </c>
      <c r="B651" t="s">
        <v>107</v>
      </c>
    </row>
    <row r="652" spans="1:2" x14ac:dyDescent="0.3">
      <c r="A652" s="4" t="str">
        <f t="shared" si="1"/>
        <v>Repairs/Maintenance</v>
      </c>
      <c r="B652" t="s">
        <v>107</v>
      </c>
    </row>
    <row r="653" spans="1:2" x14ac:dyDescent="0.3">
      <c r="A653" s="4" t="str">
        <f t="shared" si="1"/>
        <v>Repairs/Maintenance - Dredging (Every 3-5 Years)</v>
      </c>
      <c r="B653" t="s">
        <v>107</v>
      </c>
    </row>
    <row r="654" spans="1:2" x14ac:dyDescent="0.3">
      <c r="A654" s="4" t="str">
        <f t="shared" si="1"/>
        <v>Repairs - Hurricane</v>
      </c>
      <c r="B654" t="s">
        <v>107</v>
      </c>
    </row>
    <row r="655" spans="1:2" x14ac:dyDescent="0.3">
      <c r="A655" s="4" t="str">
        <f t="shared" si="1"/>
        <v>Total Utilities</v>
      </c>
      <c r="B655" t="s">
        <v>107</v>
      </c>
    </row>
    <row r="656" spans="1:2" x14ac:dyDescent="0.3">
      <c r="A656" s="4" t="str">
        <f t="shared" si="1"/>
        <v>Telephone</v>
      </c>
      <c r="B656" t="s">
        <v>107</v>
      </c>
    </row>
    <row r="657" spans="1:2" x14ac:dyDescent="0.3">
      <c r="A657" s="4" t="str">
        <f t="shared" si="1"/>
        <v>Taxes/License</v>
      </c>
      <c r="B657" t="s">
        <v>107</v>
      </c>
    </row>
    <row r="658" spans="1:2" x14ac:dyDescent="0.3">
      <c r="A658" s="4" t="str">
        <f t="shared" si="1"/>
        <v>Security</v>
      </c>
      <c r="B658" t="s">
        <v>107</v>
      </c>
    </row>
    <row r="659" spans="1:2" x14ac:dyDescent="0.3">
      <c r="A659" s="4" t="str">
        <f t="shared" si="1"/>
        <v>Bank Service Charges</v>
      </c>
      <c r="B659" t="s">
        <v>107</v>
      </c>
    </row>
    <row r="660" spans="1:2" x14ac:dyDescent="0.3">
      <c r="A660" s="4" t="str">
        <f t="shared" si="1"/>
        <v>Professional Fees</v>
      </c>
      <c r="B660" t="s">
        <v>107</v>
      </c>
    </row>
    <row r="661" spans="1:2" x14ac:dyDescent="0.3">
      <c r="A661" s="4" t="str">
        <f t="shared" si="1"/>
        <v>Legal</v>
      </c>
      <c r="B661" t="s">
        <v>107</v>
      </c>
    </row>
    <row r="662" spans="1:2" x14ac:dyDescent="0.3">
      <c r="A662" s="4" t="str">
        <f t="shared" si="1"/>
        <v>Professional Fees - Other</v>
      </c>
      <c r="B662" t="s">
        <v>107</v>
      </c>
    </row>
    <row r="663" spans="1:2" x14ac:dyDescent="0.3">
      <c r="A663" s="4" t="str">
        <f t="shared" si="1"/>
        <v>Casualty</v>
      </c>
      <c r="B663" t="s">
        <v>107</v>
      </c>
    </row>
    <row r="664" spans="1:2" x14ac:dyDescent="0.3">
      <c r="A664" s="4" t="s">
        <v>572</v>
      </c>
      <c r="B664" t="s">
        <v>107</v>
      </c>
    </row>
    <row r="665" spans="1:2" x14ac:dyDescent="0.3">
      <c r="A665" s="4" t="s">
        <v>573</v>
      </c>
      <c r="B665" t="s">
        <v>107</v>
      </c>
    </row>
    <row r="666" spans="1:2" x14ac:dyDescent="0.3">
      <c r="A666" s="4" t="s">
        <v>574</v>
      </c>
      <c r="B666" t="s">
        <v>107</v>
      </c>
    </row>
    <row r="667" spans="1:2" x14ac:dyDescent="0.3">
      <c r="A667" s="4" t="s">
        <v>575</v>
      </c>
      <c r="B667" t="s">
        <v>107</v>
      </c>
    </row>
    <row r="668" spans="1:2" x14ac:dyDescent="0.3">
      <c r="A668" s="4" t="s">
        <v>576</v>
      </c>
      <c r="B668" t="s">
        <v>107</v>
      </c>
    </row>
    <row r="669" spans="1:2" x14ac:dyDescent="0.3">
      <c r="A669" s="4" t="s">
        <v>577</v>
      </c>
      <c r="B669" t="s">
        <v>107</v>
      </c>
    </row>
    <row r="670" spans="1:2" x14ac:dyDescent="0.3">
      <c r="A670" s="4" t="s">
        <v>578</v>
      </c>
      <c r="B670" t="s">
        <v>107</v>
      </c>
    </row>
    <row r="671" spans="1:2" x14ac:dyDescent="0.3">
      <c r="A671" s="4" t="s">
        <v>579</v>
      </c>
      <c r="B671" t="s">
        <v>107</v>
      </c>
    </row>
    <row r="672" spans="1:2" x14ac:dyDescent="0.3">
      <c r="A672" s="4" t="s">
        <v>580</v>
      </c>
      <c r="B672" t="s">
        <v>107</v>
      </c>
    </row>
    <row r="673" spans="1:2" x14ac:dyDescent="0.3">
      <c r="A673" s="4" t="s">
        <v>581</v>
      </c>
      <c r="B673" t="s">
        <v>107</v>
      </c>
    </row>
    <row r="674" spans="1:2" x14ac:dyDescent="0.3">
      <c r="A674" s="4" t="s">
        <v>582</v>
      </c>
      <c r="B674" t="s">
        <v>107</v>
      </c>
    </row>
    <row r="675" spans="1:2" x14ac:dyDescent="0.3">
      <c r="A675" s="4" t="s">
        <v>102</v>
      </c>
      <c r="B675" t="s">
        <v>108</v>
      </c>
    </row>
    <row r="676" spans="1:2" x14ac:dyDescent="0.3">
      <c r="A676" s="4" t="s">
        <v>103</v>
      </c>
      <c r="B676" t="s">
        <v>108</v>
      </c>
    </row>
    <row r="677" spans="1:2" x14ac:dyDescent="0.3">
      <c r="A677" s="4" t="s">
        <v>323</v>
      </c>
      <c r="B677" t="s">
        <v>108</v>
      </c>
    </row>
    <row r="678" spans="1:2" x14ac:dyDescent="0.3">
      <c r="A678" s="4" t="s">
        <v>102</v>
      </c>
      <c r="B678" t="s">
        <v>108</v>
      </c>
    </row>
    <row r="679" spans="1:2" x14ac:dyDescent="0.3">
      <c r="A679" s="4" t="s">
        <v>103</v>
      </c>
      <c r="B679" t="s">
        <v>108</v>
      </c>
    </row>
    <row r="680" spans="1:2" x14ac:dyDescent="0.3">
      <c r="A680" s="4" t="s">
        <v>583</v>
      </c>
      <c r="B680" t="s">
        <v>108</v>
      </c>
    </row>
    <row r="681" spans="1:2" x14ac:dyDescent="0.3">
      <c r="A681" s="4" t="s">
        <v>584</v>
      </c>
      <c r="B681" t="s">
        <v>108</v>
      </c>
    </row>
    <row r="682" spans="1:2" x14ac:dyDescent="0.3">
      <c r="A682" s="4" t="s">
        <v>585</v>
      </c>
      <c r="B682" t="s">
        <v>109</v>
      </c>
    </row>
    <row r="683" spans="1:2" x14ac:dyDescent="0.3">
      <c r="A683" s="4" t="s">
        <v>586</v>
      </c>
      <c r="B683" t="s">
        <v>109</v>
      </c>
    </row>
    <row r="684" spans="1:2" x14ac:dyDescent="0.3">
      <c r="A684" s="4" t="s">
        <v>587</v>
      </c>
      <c r="B684" t="s">
        <v>109</v>
      </c>
    </row>
    <row r="685" spans="1:2" x14ac:dyDescent="0.3">
      <c r="A685" s="4" t="s">
        <v>588</v>
      </c>
      <c r="B685" t="s">
        <v>109</v>
      </c>
    </row>
    <row r="686" spans="1:2" x14ac:dyDescent="0.3">
      <c r="A686" s="4" t="s">
        <v>589</v>
      </c>
      <c r="B686" t="s">
        <v>109</v>
      </c>
    </row>
    <row r="687" spans="1:2" x14ac:dyDescent="0.3">
      <c r="A687" s="4" t="s">
        <v>590</v>
      </c>
      <c r="B687" t="s">
        <v>110</v>
      </c>
    </row>
    <row r="688" spans="1:2" x14ac:dyDescent="0.3">
      <c r="A688" s="4" t="s">
        <v>159</v>
      </c>
      <c r="B688" t="s">
        <v>110</v>
      </c>
    </row>
    <row r="689" spans="1:2" x14ac:dyDescent="0.3">
      <c r="A689" s="4" t="s">
        <v>160</v>
      </c>
      <c r="B689" t="s">
        <v>110</v>
      </c>
    </row>
    <row r="690" spans="1:2" x14ac:dyDescent="0.3">
      <c r="A690" s="4" t="s">
        <v>161</v>
      </c>
      <c r="B690" t="s">
        <v>110</v>
      </c>
    </row>
    <row r="691" spans="1:2" x14ac:dyDescent="0.3">
      <c r="A691" s="4" t="s">
        <v>162</v>
      </c>
      <c r="B691" t="s">
        <v>110</v>
      </c>
    </row>
    <row r="692" spans="1:2" x14ac:dyDescent="0.3">
      <c r="A692" s="4" t="s">
        <v>398</v>
      </c>
      <c r="B692" t="s">
        <v>110</v>
      </c>
    </row>
    <row r="693" spans="1:2" x14ac:dyDescent="0.3">
      <c r="A693" s="4" t="s">
        <v>330</v>
      </c>
      <c r="B693" t="s">
        <v>110</v>
      </c>
    </row>
    <row r="694" spans="1:2" x14ac:dyDescent="0.3">
      <c r="A694" s="4" t="s">
        <v>591</v>
      </c>
      <c r="B694" t="s">
        <v>111</v>
      </c>
    </row>
    <row r="695" spans="1:2" x14ac:dyDescent="0.3">
      <c r="A695" s="4" t="s">
        <v>592</v>
      </c>
      <c r="B695" t="s">
        <v>111</v>
      </c>
    </row>
    <row r="696" spans="1:2" x14ac:dyDescent="0.3">
      <c r="A696" s="4" t="s">
        <v>593</v>
      </c>
      <c r="B696" t="s">
        <v>111</v>
      </c>
    </row>
    <row r="697" spans="1:2" x14ac:dyDescent="0.3">
      <c r="A697" s="4" t="s">
        <v>594</v>
      </c>
      <c r="B697" t="s">
        <v>111</v>
      </c>
    </row>
    <row r="698" spans="1:2" x14ac:dyDescent="0.3">
      <c r="A698" s="4" t="s">
        <v>595</v>
      </c>
      <c r="B698" t="s">
        <v>111</v>
      </c>
    </row>
    <row r="699" spans="1:2" x14ac:dyDescent="0.3">
      <c r="A699" s="4" t="s">
        <v>596</v>
      </c>
      <c r="B699" t="s">
        <v>111</v>
      </c>
    </row>
    <row r="700" spans="1:2" x14ac:dyDescent="0.3">
      <c r="A700" s="4" t="s">
        <v>597</v>
      </c>
      <c r="B700" t="s">
        <v>111</v>
      </c>
    </row>
    <row r="701" spans="1:2" x14ac:dyDescent="0.3">
      <c r="A701" s="4" t="s">
        <v>172</v>
      </c>
      <c r="B701" t="s">
        <v>111</v>
      </c>
    </row>
    <row r="702" spans="1:2" x14ac:dyDescent="0.3">
      <c r="A702" s="4" t="s">
        <v>173</v>
      </c>
      <c r="B702" t="s">
        <v>111</v>
      </c>
    </row>
    <row r="703" spans="1:2" x14ac:dyDescent="0.3">
      <c r="A703" s="4" t="s">
        <v>598</v>
      </c>
      <c r="B703" t="s">
        <v>113</v>
      </c>
    </row>
    <row r="704" spans="1:2" x14ac:dyDescent="0.3">
      <c r="A704" s="4" t="s">
        <v>599</v>
      </c>
      <c r="B704" t="s">
        <v>113</v>
      </c>
    </row>
    <row r="705" spans="1:2" x14ac:dyDescent="0.3">
      <c r="A705" s="4" t="s">
        <v>600</v>
      </c>
      <c r="B705" t="s">
        <v>113</v>
      </c>
    </row>
    <row r="706" spans="1:2" x14ac:dyDescent="0.3">
      <c r="A706" s="4" t="s">
        <v>601</v>
      </c>
      <c r="B706" t="s">
        <v>113</v>
      </c>
    </row>
    <row r="707" spans="1:2" x14ac:dyDescent="0.3">
      <c r="A707" s="4" t="s">
        <v>602</v>
      </c>
      <c r="B707" t="s">
        <v>113</v>
      </c>
    </row>
    <row r="708" spans="1:2" x14ac:dyDescent="0.3">
      <c r="A708" s="4" t="s">
        <v>603</v>
      </c>
      <c r="B708" t="s">
        <v>113</v>
      </c>
    </row>
    <row r="709" spans="1:2" x14ac:dyDescent="0.3">
      <c r="A709" s="4" t="s">
        <v>604</v>
      </c>
      <c r="B709" t="s">
        <v>113</v>
      </c>
    </row>
    <row r="710" spans="1:2" x14ac:dyDescent="0.3">
      <c r="A710" s="4" t="s">
        <v>605</v>
      </c>
      <c r="B710" t="s">
        <v>113</v>
      </c>
    </row>
    <row r="711" spans="1:2" x14ac:dyDescent="0.3">
      <c r="A711" s="4" t="s">
        <v>606</v>
      </c>
      <c r="B711" t="s">
        <v>113</v>
      </c>
    </row>
    <row r="712" spans="1:2" x14ac:dyDescent="0.3">
      <c r="A712" s="4" t="s">
        <v>607</v>
      </c>
      <c r="B712" t="s">
        <v>113</v>
      </c>
    </row>
    <row r="713" spans="1:2" x14ac:dyDescent="0.3">
      <c r="A713" s="4" t="s">
        <v>598</v>
      </c>
      <c r="B713" t="s">
        <v>113</v>
      </c>
    </row>
    <row r="714" spans="1:2" x14ac:dyDescent="0.3">
      <c r="A714" s="4" t="s">
        <v>599</v>
      </c>
      <c r="B714" t="s">
        <v>113</v>
      </c>
    </row>
    <row r="715" spans="1:2" x14ac:dyDescent="0.3">
      <c r="A715" s="4" t="s">
        <v>600</v>
      </c>
      <c r="B715" t="s">
        <v>113</v>
      </c>
    </row>
    <row r="716" spans="1:2" x14ac:dyDescent="0.3">
      <c r="A716" s="4" t="s">
        <v>601</v>
      </c>
      <c r="B716" t="s">
        <v>113</v>
      </c>
    </row>
    <row r="717" spans="1:2" x14ac:dyDescent="0.3">
      <c r="A717" s="4" t="s">
        <v>602</v>
      </c>
      <c r="B717" t="s">
        <v>113</v>
      </c>
    </row>
    <row r="718" spans="1:2" x14ac:dyDescent="0.3">
      <c r="A718" s="4" t="s">
        <v>603</v>
      </c>
      <c r="B718" t="s">
        <v>113</v>
      </c>
    </row>
    <row r="719" spans="1:2" x14ac:dyDescent="0.3">
      <c r="A719" s="4" t="s">
        <v>604</v>
      </c>
      <c r="B719" t="s">
        <v>113</v>
      </c>
    </row>
    <row r="720" spans="1:2" x14ac:dyDescent="0.3">
      <c r="A720" s="4" t="s">
        <v>605</v>
      </c>
      <c r="B720" t="s">
        <v>113</v>
      </c>
    </row>
    <row r="721" spans="1:2" x14ac:dyDescent="0.3">
      <c r="A721" s="4" t="s">
        <v>606</v>
      </c>
      <c r="B721" t="s">
        <v>113</v>
      </c>
    </row>
    <row r="722" spans="1:2" x14ac:dyDescent="0.3">
      <c r="A722" s="4" t="s">
        <v>174</v>
      </c>
      <c r="B722" t="s">
        <v>121</v>
      </c>
    </row>
    <row r="723" spans="1:2" x14ac:dyDescent="0.3">
      <c r="A723" s="4" t="s">
        <v>608</v>
      </c>
      <c r="B723" t="s">
        <v>123</v>
      </c>
    </row>
    <row r="724" spans="1:2" x14ac:dyDescent="0.3">
      <c r="A724" s="4" t="s">
        <v>609</v>
      </c>
      <c r="B724" t="s">
        <v>125</v>
      </c>
    </row>
    <row r="725" spans="1:2" x14ac:dyDescent="0.3">
      <c r="A725" s="4" t="s">
        <v>610</v>
      </c>
      <c r="B725" t="s">
        <v>126</v>
      </c>
    </row>
    <row r="726" spans="1:2" x14ac:dyDescent="0.3">
      <c r="A726" s="4" t="s">
        <v>611</v>
      </c>
      <c r="B726" t="s">
        <v>126</v>
      </c>
    </row>
    <row r="727" spans="1:2" x14ac:dyDescent="0.3">
      <c r="A727" s="4" t="s">
        <v>612</v>
      </c>
      <c r="B727" t="s">
        <v>126</v>
      </c>
    </row>
    <row r="728" spans="1:2" x14ac:dyDescent="0.3">
      <c r="A728" s="4" t="s">
        <v>613</v>
      </c>
      <c r="B728" t="s">
        <v>126</v>
      </c>
    </row>
    <row r="729" spans="1:2" x14ac:dyDescent="0.3">
      <c r="A729" s="4" t="s">
        <v>614</v>
      </c>
      <c r="B729" t="s">
        <v>126</v>
      </c>
    </row>
    <row r="730" spans="1:2" x14ac:dyDescent="0.3">
      <c r="A730" s="4" t="s">
        <v>615</v>
      </c>
      <c r="B730" t="s">
        <v>126</v>
      </c>
    </row>
    <row r="731" spans="1:2" x14ac:dyDescent="0.3">
      <c r="A731" s="4" t="s">
        <v>616</v>
      </c>
      <c r="B731" t="s">
        <v>126</v>
      </c>
    </row>
    <row r="732" spans="1:2" x14ac:dyDescent="0.3">
      <c r="A732" s="4" t="s">
        <v>617</v>
      </c>
      <c r="B732" t="s">
        <v>138</v>
      </c>
    </row>
    <row r="733" spans="1:2" x14ac:dyDescent="0.3">
      <c r="A733" s="4" t="s">
        <v>618</v>
      </c>
      <c r="B733" t="s">
        <v>139</v>
      </c>
    </row>
    <row r="734" spans="1:2" x14ac:dyDescent="0.3">
      <c r="A734" s="4" t="s">
        <v>619</v>
      </c>
      <c r="B734" t="s">
        <v>139</v>
      </c>
    </row>
    <row r="735" spans="1:2" x14ac:dyDescent="0.3">
      <c r="A735" s="4" t="s">
        <v>286</v>
      </c>
      <c r="B735" t="s">
        <v>139</v>
      </c>
    </row>
    <row r="736" spans="1:2" x14ac:dyDescent="0.3">
      <c r="A736" s="4" t="s">
        <v>247</v>
      </c>
      <c r="B736" t="s">
        <v>139</v>
      </c>
    </row>
    <row r="737" spans="1:3" x14ac:dyDescent="0.3">
      <c r="A737" s="4" t="s">
        <v>318</v>
      </c>
      <c r="B737" t="s">
        <v>139</v>
      </c>
    </row>
    <row r="738" spans="1:3" x14ac:dyDescent="0.3">
      <c r="A738" s="4" t="s">
        <v>305</v>
      </c>
      <c r="B738" t="s">
        <v>139</v>
      </c>
    </row>
    <row r="739" spans="1:3" x14ac:dyDescent="0.3">
      <c r="A739" s="4" t="s">
        <v>484</v>
      </c>
      <c r="B739" t="s">
        <v>139</v>
      </c>
    </row>
    <row r="740" spans="1:3" x14ac:dyDescent="0.3">
      <c r="A740" s="4" t="s">
        <v>186</v>
      </c>
      <c r="B740" t="s">
        <v>139</v>
      </c>
    </row>
    <row r="741" spans="1:3" x14ac:dyDescent="0.3">
      <c r="A741" s="4" t="s">
        <v>620</v>
      </c>
      <c r="B741" t="s">
        <v>139</v>
      </c>
    </row>
    <row r="742" spans="1:3" x14ac:dyDescent="0.3">
      <c r="A742" s="4" t="s">
        <v>621</v>
      </c>
      <c r="B742" t="s">
        <v>139</v>
      </c>
    </row>
    <row r="743" spans="1:3" x14ac:dyDescent="0.3">
      <c r="A743" s="4" t="s">
        <v>622</v>
      </c>
      <c r="B743" t="s">
        <v>139</v>
      </c>
    </row>
    <row r="744" spans="1:3" x14ac:dyDescent="0.3">
      <c r="A744" s="4" t="s">
        <v>623</v>
      </c>
      <c r="B744" t="s">
        <v>139</v>
      </c>
    </row>
    <row r="745" spans="1:3" x14ac:dyDescent="0.3">
      <c r="A745" s="4" t="s">
        <v>382</v>
      </c>
      <c r="B745" t="s">
        <v>139</v>
      </c>
    </row>
    <row r="746" spans="1:3" x14ac:dyDescent="0.3">
      <c r="A746" s="4" t="s">
        <v>624</v>
      </c>
      <c r="B746" t="s">
        <v>141</v>
      </c>
    </row>
    <row r="747" spans="1:3" x14ac:dyDescent="0.3">
      <c r="A747" s="4" t="s">
        <v>625</v>
      </c>
      <c r="B747" t="s">
        <v>141</v>
      </c>
    </row>
    <row r="748" spans="1:3" x14ac:dyDescent="0.3">
      <c r="A748" s="4" t="s">
        <v>626</v>
      </c>
      <c r="B748" t="s">
        <v>141</v>
      </c>
    </row>
    <row r="749" spans="1:3" x14ac:dyDescent="0.3">
      <c r="A749" s="4" t="s">
        <v>627</v>
      </c>
      <c r="B749" t="s">
        <v>141</v>
      </c>
      <c r="C749" t="s">
        <v>68</v>
      </c>
    </row>
    <row r="750" spans="1:3" x14ac:dyDescent="0.3">
      <c r="A750" s="4" t="s">
        <v>628</v>
      </c>
      <c r="B750" t="s">
        <v>141</v>
      </c>
      <c r="C750" t="s">
        <v>68</v>
      </c>
    </row>
    <row r="751" spans="1:3" x14ac:dyDescent="0.3">
      <c r="A751" s="4" t="s">
        <v>629</v>
      </c>
      <c r="B751" t="s">
        <v>141</v>
      </c>
      <c r="C751" t="s">
        <v>68</v>
      </c>
    </row>
    <row r="752" spans="1:3" x14ac:dyDescent="0.3">
      <c r="A752" s="4" t="s">
        <v>630</v>
      </c>
      <c r="B752" t="s">
        <v>141</v>
      </c>
      <c r="C752" t="s">
        <v>68</v>
      </c>
    </row>
    <row r="753" spans="1:3" x14ac:dyDescent="0.3">
      <c r="A753" s="4" t="s">
        <v>631</v>
      </c>
      <c r="B753" t="s">
        <v>141</v>
      </c>
      <c r="C753" t="s">
        <v>69</v>
      </c>
    </row>
    <row r="754" spans="1:3" x14ac:dyDescent="0.3">
      <c r="A754" s="4" t="s">
        <v>632</v>
      </c>
      <c r="B754" t="s">
        <v>141</v>
      </c>
      <c r="C754" t="s">
        <v>74</v>
      </c>
    </row>
    <row r="755" spans="1:3" x14ac:dyDescent="0.3">
      <c r="A755" s="4" t="s">
        <v>633</v>
      </c>
      <c r="B755" t="s">
        <v>141</v>
      </c>
      <c r="C755" t="s">
        <v>74</v>
      </c>
    </row>
    <row r="756" spans="1:3" x14ac:dyDescent="0.3">
      <c r="A756" s="4" t="s">
        <v>634</v>
      </c>
      <c r="B756" t="s">
        <v>141</v>
      </c>
      <c r="C756" t="s">
        <v>74</v>
      </c>
    </row>
    <row r="757" spans="1:3" x14ac:dyDescent="0.3">
      <c r="A757" s="4" t="s">
        <v>635</v>
      </c>
      <c r="B757" t="s">
        <v>142</v>
      </c>
    </row>
    <row r="758" spans="1:3" x14ac:dyDescent="0.3">
      <c r="A758" s="4" t="s">
        <v>636</v>
      </c>
      <c r="B758" t="s">
        <v>142</v>
      </c>
    </row>
    <row r="759" spans="1:3" x14ac:dyDescent="0.3">
      <c r="A759" s="4" t="s">
        <v>637</v>
      </c>
      <c r="B759" t="s">
        <v>142</v>
      </c>
    </row>
    <row r="760" spans="1:3" x14ac:dyDescent="0.3">
      <c r="A760" s="4" t="s">
        <v>638</v>
      </c>
      <c r="B760" t="s">
        <v>142</v>
      </c>
    </row>
    <row r="761" spans="1:3" x14ac:dyDescent="0.3">
      <c r="A761" s="4" t="s">
        <v>639</v>
      </c>
      <c r="B761" t="s">
        <v>142</v>
      </c>
    </row>
    <row r="762" spans="1:3" x14ac:dyDescent="0.3">
      <c r="A762" s="4" t="s">
        <v>640</v>
      </c>
      <c r="B762" t="s">
        <v>142</v>
      </c>
    </row>
    <row r="763" spans="1:3" x14ac:dyDescent="0.3">
      <c r="A763" s="4" t="s">
        <v>641</v>
      </c>
      <c r="B763" t="s">
        <v>142</v>
      </c>
    </row>
    <row r="764" spans="1:3" x14ac:dyDescent="0.3">
      <c r="A764" s="4" t="s">
        <v>642</v>
      </c>
      <c r="B764" t="s">
        <v>142</v>
      </c>
    </row>
    <row r="765" spans="1:3" x14ac:dyDescent="0.3">
      <c r="A765" s="4" t="s">
        <v>643</v>
      </c>
      <c r="B765" t="s">
        <v>142</v>
      </c>
    </row>
    <row r="766" spans="1:3" x14ac:dyDescent="0.3">
      <c r="A766" s="4" t="s">
        <v>644</v>
      </c>
      <c r="B766" t="s">
        <v>142</v>
      </c>
    </row>
    <row r="767" spans="1:3" x14ac:dyDescent="0.3">
      <c r="A767" s="4" t="s">
        <v>645</v>
      </c>
      <c r="B767" t="s">
        <v>142</v>
      </c>
    </row>
    <row r="768" spans="1:3" x14ac:dyDescent="0.3">
      <c r="A768" s="4" t="s">
        <v>646</v>
      </c>
      <c r="B768" t="s">
        <v>142</v>
      </c>
    </row>
    <row r="769" spans="1:2" x14ac:dyDescent="0.3">
      <c r="A769" s="4" t="s">
        <v>646</v>
      </c>
      <c r="B769" t="s">
        <v>142</v>
      </c>
    </row>
    <row r="770" spans="1:2" x14ac:dyDescent="0.3">
      <c r="A770" s="4" t="s">
        <v>647</v>
      </c>
      <c r="B770" t="s">
        <v>142</v>
      </c>
    </row>
    <row r="771" spans="1:2" x14ac:dyDescent="0.3">
      <c r="A771" s="4" t="s">
        <v>32</v>
      </c>
      <c r="B771" t="s">
        <v>143</v>
      </c>
    </row>
    <row r="772" spans="1:2" x14ac:dyDescent="0.3">
      <c r="A772" s="4" t="s">
        <v>648</v>
      </c>
      <c r="B772" t="s">
        <v>143</v>
      </c>
    </row>
    <row r="773" spans="1:2" x14ac:dyDescent="0.3">
      <c r="A773" s="4" t="s">
        <v>649</v>
      </c>
      <c r="B773" t="s">
        <v>143</v>
      </c>
    </row>
    <row r="774" spans="1:2" x14ac:dyDescent="0.3">
      <c r="A774" s="4" t="s">
        <v>650</v>
      </c>
      <c r="B774" t="s">
        <v>144</v>
      </c>
    </row>
    <row r="775" spans="1:2" x14ac:dyDescent="0.3">
      <c r="A775" s="4" t="s">
        <v>651</v>
      </c>
      <c r="B775" t="s">
        <v>144</v>
      </c>
    </row>
    <row r="776" spans="1:2" x14ac:dyDescent="0.3">
      <c r="A776" s="4" t="s">
        <v>652</v>
      </c>
      <c r="B776" t="s">
        <v>144</v>
      </c>
    </row>
    <row r="777" spans="1:2" x14ac:dyDescent="0.3">
      <c r="A777" s="4" t="s">
        <v>653</v>
      </c>
      <c r="B777" t="s">
        <v>144</v>
      </c>
    </row>
    <row r="778" spans="1:2" x14ac:dyDescent="0.3">
      <c r="A778" s="4" t="s">
        <v>654</v>
      </c>
      <c r="B778" t="s">
        <v>144</v>
      </c>
    </row>
    <row r="779" spans="1:2" x14ac:dyDescent="0.3">
      <c r="A779" s="4" t="s">
        <v>655</v>
      </c>
      <c r="B779" t="s">
        <v>144</v>
      </c>
    </row>
    <row r="780" spans="1:2" x14ac:dyDescent="0.3">
      <c r="A780" s="4" t="s">
        <v>656</v>
      </c>
      <c r="B780" t="s">
        <v>144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COA_Master</vt:lpstr>
      <vt:lpstr>Segments_Master</vt:lpstr>
      <vt:lpstr>Alias_Seed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Murphy</dc:creator>
  <cp:lastModifiedBy>Brett Murphy</cp:lastModifiedBy>
  <dcterms:created xsi:type="dcterms:W3CDTF">2025-12-30T03:31:25Z</dcterms:created>
  <dcterms:modified xsi:type="dcterms:W3CDTF">2025-12-31T03:43:20Z</dcterms:modified>
</cp:coreProperties>
</file>