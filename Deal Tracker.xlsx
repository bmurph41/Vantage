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tt\Desktop\"/>
    </mc:Choice>
  </mc:AlternateContent>
  <xr:revisionPtr revIDLastSave="0" documentId="8_{9C89F1A8-19D2-46A5-AAE9-99FAA166A969}" xr6:coauthVersionLast="47" xr6:coauthVersionMax="47" xr10:uidLastSave="{00000000-0000-0000-0000-000000000000}"/>
  <bookViews>
    <workbookView xWindow="-108" yWindow="-108" windowWidth="23256" windowHeight="12456" firstSheet="1" activeTab="1" xr2:uid="{7ED0CB73-7CBC-41CB-AC21-1AA177A57CCA}"/>
  </bookViews>
  <sheets>
    <sheet name="Deal Tracker" sheetId="9" state="hidden" r:id="rId1"/>
    <sheet name="M&amp;A Deal Sheet" sheetId="10" r:id="rId2"/>
    <sheet name="PSA Critical Dates" sheetId="12" r:id="rId3"/>
    <sheet name="Regions" sheetId="13" r:id="rId4"/>
    <sheet name="M&amp;A Deal Sheet - Q4 BD Slide" sheetId="11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0" l="1"/>
  <c r="D31" i="10"/>
  <c r="G31" i="10"/>
  <c r="G20" i="10"/>
  <c r="AX29" i="10"/>
  <c r="AS29" i="10"/>
  <c r="AS18" i="10"/>
  <c r="X18" i="10"/>
  <c r="AA18" i="10" s="1"/>
  <c r="X29" i="10"/>
  <c r="AA29" i="10" s="1"/>
  <c r="J18" i="10"/>
  <c r="J42" i="10"/>
  <c r="Y17" i="10"/>
  <c r="AB17" i="10"/>
  <c r="J245" i="10"/>
  <c r="J28" i="10"/>
  <c r="J247" i="10"/>
  <c r="O41" i="10"/>
  <c r="J16" i="10"/>
  <c r="G7" i="10"/>
  <c r="G6" i="10"/>
  <c r="J6" i="10"/>
  <c r="G11" i="10" s="1"/>
  <c r="A270" i="10"/>
  <c r="A63" i="10"/>
  <c r="A62" i="10"/>
  <c r="A61" i="10"/>
  <c r="A269" i="10"/>
  <c r="A109" i="10"/>
  <c r="A64" i="10"/>
  <c r="A46" i="10"/>
  <c r="D60" i="10"/>
  <c r="A273" i="10"/>
  <c r="A25" i="10"/>
  <c r="A65" i="10"/>
  <c r="A113" i="10"/>
  <c r="A110" i="10"/>
  <c r="J249" i="10"/>
  <c r="G60" i="10"/>
  <c r="T6" i="13"/>
  <c r="T5" i="13"/>
  <c r="T4" i="13"/>
  <c r="T3" i="13"/>
  <c r="T2" i="13"/>
  <c r="S4" i="13"/>
  <c r="S6" i="13"/>
  <c r="S5" i="13"/>
  <c r="S3" i="13"/>
  <c r="S2" i="13"/>
  <c r="O4" i="13"/>
  <c r="O11" i="13"/>
  <c r="O13" i="13"/>
  <c r="O16" i="13"/>
  <c r="O18" i="13"/>
  <c r="O25" i="13"/>
  <c r="O28" i="13"/>
  <c r="O30" i="13"/>
  <c r="O35" i="13"/>
  <c r="O37" i="13"/>
  <c r="O40" i="13"/>
  <c r="O42" i="13"/>
  <c r="O47" i="13"/>
  <c r="O49" i="13"/>
  <c r="O50" i="13"/>
  <c r="O1" i="13"/>
  <c r="B2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2" i="13"/>
  <c r="O2" i="13" s="1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M234" i="13"/>
  <c r="M235" i="13"/>
  <c r="M236" i="13"/>
  <c r="M237" i="13"/>
  <c r="M238" i="13"/>
  <c r="M239" i="13"/>
  <c r="M240" i="13"/>
  <c r="M241" i="13"/>
  <c r="M242" i="13"/>
  <c r="M243" i="13"/>
  <c r="M244" i="13"/>
  <c r="M245" i="13"/>
  <c r="M246" i="13"/>
  <c r="M247" i="13"/>
  <c r="M248" i="13"/>
  <c r="M249" i="13"/>
  <c r="M250" i="13"/>
  <c r="M251" i="13"/>
  <c r="M252" i="13"/>
  <c r="M253" i="13"/>
  <c r="M254" i="13"/>
  <c r="M255" i="13"/>
  <c r="M256" i="13"/>
  <c r="M257" i="13"/>
  <c r="M258" i="13"/>
  <c r="M259" i="13"/>
  <c r="M260" i="13"/>
  <c r="M261" i="13"/>
  <c r="M262" i="13"/>
  <c r="M263" i="13"/>
  <c r="M264" i="13"/>
  <c r="M265" i="13"/>
  <c r="M266" i="13"/>
  <c r="M267" i="13"/>
  <c r="M268" i="13"/>
  <c r="M269" i="13"/>
  <c r="M270" i="13"/>
  <c r="M271" i="13"/>
  <c r="M272" i="13"/>
  <c r="M273" i="13"/>
  <c r="M274" i="13"/>
  <c r="M275" i="13"/>
  <c r="M276" i="13"/>
  <c r="M277" i="13"/>
  <c r="M278" i="13"/>
  <c r="M279" i="13"/>
  <c r="M280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8" i="13"/>
  <c r="M309" i="13"/>
  <c r="M310" i="13"/>
  <c r="M311" i="13"/>
  <c r="M312" i="13"/>
  <c r="M313" i="13"/>
  <c r="M314" i="13"/>
  <c r="M315" i="13"/>
  <c r="M316" i="13"/>
  <c r="M317" i="13"/>
  <c r="M318" i="13"/>
  <c r="M319" i="13"/>
  <c r="M320" i="13"/>
  <c r="M321" i="13"/>
  <c r="M322" i="13"/>
  <c r="M323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8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5" i="13"/>
  <c r="M376" i="13"/>
  <c r="M377" i="13"/>
  <c r="M378" i="13"/>
  <c r="M379" i="13"/>
  <c r="M380" i="13"/>
  <c r="M381" i="13"/>
  <c r="M382" i="13"/>
  <c r="M383" i="13"/>
  <c r="M384" i="13"/>
  <c r="M385" i="13"/>
  <c r="M386" i="13"/>
  <c r="M387" i="13"/>
  <c r="M388" i="13"/>
  <c r="M389" i="13"/>
  <c r="M390" i="13"/>
  <c r="M391" i="13"/>
  <c r="M392" i="13"/>
  <c r="M393" i="13"/>
  <c r="M394" i="13"/>
  <c r="M1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" i="13"/>
  <c r="D45" i="10"/>
  <c r="C289" i="10" s="1"/>
  <c r="N105" i="10"/>
  <c r="A21" i="10"/>
  <c r="A22" i="10"/>
  <c r="A23" i="10"/>
  <c r="A24" i="10"/>
  <c r="A32" i="10"/>
  <c r="A111" i="10"/>
  <c r="A112" i="10"/>
  <c r="A272" i="10"/>
  <c r="AX16" i="10"/>
  <c r="AW20" i="10"/>
  <c r="AT20" i="10"/>
  <c r="O20" i="10"/>
  <c r="L20" i="10"/>
  <c r="J20" i="10"/>
  <c r="D20" i="10"/>
  <c r="AV29" i="10" l="1"/>
  <c r="AC29" i="10"/>
  <c r="AV18" i="10"/>
  <c r="AC18" i="10"/>
  <c r="A36" i="10"/>
  <c r="A34" i="10"/>
  <c r="A35" i="10"/>
  <c r="H7" i="10"/>
  <c r="J11" i="10"/>
  <c r="F3" i="13"/>
  <c r="F4" i="13"/>
  <c r="O48" i="13"/>
  <c r="O36" i="13"/>
  <c r="O24" i="13"/>
  <c r="O12" i="13"/>
  <c r="O23" i="13"/>
  <c r="O46" i="13"/>
  <c r="O34" i="13"/>
  <c r="O22" i="13"/>
  <c r="O10" i="13"/>
  <c r="O9" i="13"/>
  <c r="O21" i="13"/>
  <c r="O44" i="13"/>
  <c r="O32" i="13"/>
  <c r="O20" i="13"/>
  <c r="O8" i="13"/>
  <c r="O45" i="13"/>
  <c r="O33" i="13"/>
  <c r="O43" i="13"/>
  <c r="O31" i="13"/>
  <c r="O19" i="13"/>
  <c r="O7" i="13"/>
  <c r="O6" i="13"/>
  <c r="O41" i="13"/>
  <c r="O29" i="13"/>
  <c r="O17" i="13"/>
  <c r="O5" i="13"/>
  <c r="O51" i="13"/>
  <c r="O39" i="13"/>
  <c r="O27" i="13"/>
  <c r="O15" i="13"/>
  <c r="O3" i="13"/>
  <c r="O38" i="13"/>
  <c r="O26" i="13"/>
  <c r="O14" i="13"/>
  <c r="F2" i="13"/>
  <c r="S7" i="13"/>
  <c r="F5" i="13"/>
  <c r="F6" i="13"/>
  <c r="B52" i="13"/>
  <c r="AX18" i="10"/>
  <c r="AD104" i="10"/>
  <c r="AD103" i="10"/>
  <c r="AD44" i="10"/>
  <c r="G108" i="10"/>
  <c r="D108" i="10"/>
  <c r="F7" i="13" l="1"/>
  <c r="J234" i="10"/>
  <c r="G291" i="10"/>
  <c r="G290" i="10"/>
  <c r="G289" i="10"/>
  <c r="G288" i="10"/>
  <c r="AW31" i="10"/>
  <c r="AT31" i="10"/>
  <c r="G268" i="10"/>
  <c r="AX100" i="10"/>
  <c r="AS100" i="10"/>
  <c r="AD100" i="10"/>
  <c r="AA100" i="10"/>
  <c r="AV100" i="10" s="1"/>
  <c r="N100" i="10"/>
  <c r="AX103" i="10"/>
  <c r="AS103" i="10"/>
  <c r="AA103" i="10"/>
  <c r="AV103" i="10" s="1"/>
  <c r="N103" i="10"/>
  <c r="AX99" i="10"/>
  <c r="AV99" i="10"/>
  <c r="AS99" i="10"/>
  <c r="N99" i="10"/>
  <c r="D6" i="12"/>
  <c r="G15" i="12"/>
  <c r="F15" i="12"/>
  <c r="E15" i="12"/>
  <c r="D15" i="12"/>
  <c r="C15" i="12"/>
  <c r="G14" i="12"/>
  <c r="F14" i="12"/>
  <c r="E14" i="12"/>
  <c r="D14" i="12"/>
  <c r="C14" i="12"/>
  <c r="G13" i="12"/>
  <c r="F13" i="12"/>
  <c r="E13" i="12"/>
  <c r="D13" i="12"/>
  <c r="C13" i="12"/>
  <c r="G12" i="12"/>
  <c r="F12" i="12"/>
  <c r="E12" i="12"/>
  <c r="D12" i="12"/>
  <c r="C12" i="12"/>
  <c r="G11" i="12"/>
  <c r="F11" i="12"/>
  <c r="E11" i="12"/>
  <c r="D11" i="12"/>
  <c r="C11" i="12"/>
  <c r="G10" i="12"/>
  <c r="F10" i="12"/>
  <c r="E10" i="12"/>
  <c r="D10" i="12"/>
  <c r="C10" i="12"/>
  <c r="G9" i="12"/>
  <c r="F9" i="12"/>
  <c r="E9" i="12"/>
  <c r="D9" i="12"/>
  <c r="C9" i="12"/>
  <c r="G8" i="12"/>
  <c r="F8" i="12"/>
  <c r="E8" i="12"/>
  <c r="D8" i="12"/>
  <c r="C8" i="12"/>
  <c r="G7" i="12"/>
  <c r="F7" i="12"/>
  <c r="E7" i="12"/>
  <c r="D7" i="12"/>
  <c r="C7" i="12"/>
  <c r="G6" i="12"/>
  <c r="F6" i="12"/>
  <c r="E6" i="12"/>
  <c r="C6" i="12"/>
  <c r="G5" i="12"/>
  <c r="F5" i="12"/>
  <c r="E5" i="12"/>
  <c r="D5" i="12"/>
  <c r="C5" i="12"/>
  <c r="G4" i="12"/>
  <c r="F4" i="12"/>
  <c r="E4" i="12"/>
  <c r="D4" i="12"/>
  <c r="C4" i="12"/>
  <c r="G6" i="13" l="1"/>
  <c r="G5" i="13"/>
  <c r="G2" i="13"/>
  <c r="G4" i="13"/>
  <c r="G3" i="13"/>
  <c r="AC103" i="10"/>
  <c r="AC100" i="10"/>
  <c r="AX44" i="10"/>
  <c r="AX104" i="10"/>
  <c r="AX17" i="10"/>
  <c r="AX218" i="10"/>
  <c r="AX221" i="10"/>
  <c r="AX28" i="10"/>
  <c r="AX252" i="10"/>
  <c r="G45" i="10"/>
  <c r="AX20" i="10" l="1"/>
  <c r="AX31" i="10" s="1"/>
  <c r="N212" i="10"/>
  <c r="J207" i="10"/>
  <c r="J211" i="10"/>
  <c r="J210" i="10"/>
  <c r="N98" i="10"/>
  <c r="N207" i="10" l="1"/>
  <c r="J215" i="10"/>
  <c r="J60" i="10" s="1"/>
  <c r="D268" i="10"/>
  <c r="C292" i="10" s="1"/>
  <c r="L108" i="10"/>
  <c r="N252" i="10"/>
  <c r="N28" i="10"/>
  <c r="N218" i="10"/>
  <c r="N104" i="10"/>
  <c r="N213" i="10"/>
  <c r="N16" i="10"/>
  <c r="N17" i="10"/>
  <c r="N95" i="10"/>
  <c r="N227" i="10"/>
  <c r="N97" i="10"/>
  <c r="N96" i="10"/>
  <c r="N94" i="10"/>
  <c r="N205" i="10"/>
  <c r="N215" i="10"/>
  <c r="N102" i="10"/>
  <c r="N253" i="10"/>
  <c r="N68" i="10"/>
  <c r="N69" i="10"/>
  <c r="N70" i="10"/>
  <c r="N71" i="10"/>
  <c r="N72" i="10"/>
  <c r="N73" i="10"/>
  <c r="N74" i="10"/>
  <c r="N75" i="10"/>
  <c r="N76" i="10"/>
  <c r="N77" i="10"/>
  <c r="N78" i="10"/>
  <c r="N29" i="10"/>
  <c r="N79" i="10"/>
  <c r="N80" i="10"/>
  <c r="N81" i="10"/>
  <c r="N82" i="10"/>
  <c r="N83" i="10"/>
  <c r="N84" i="10"/>
  <c r="N85" i="10"/>
  <c r="N240" i="10"/>
  <c r="N86" i="10"/>
  <c r="N87" i="10"/>
  <c r="N88" i="10"/>
  <c r="N89" i="10"/>
  <c r="N90" i="10"/>
  <c r="N91" i="10"/>
  <c r="N92" i="10"/>
  <c r="N93" i="10"/>
  <c r="N57" i="10"/>
  <c r="N130" i="10"/>
  <c r="N131" i="10"/>
  <c r="N132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L60" i="10"/>
  <c r="AS57" i="10"/>
  <c r="AS230" i="10"/>
  <c r="AS205" i="10"/>
  <c r="AS16" i="10"/>
  <c r="AS213" i="10"/>
  <c r="AS44" i="10"/>
  <c r="AS104" i="10"/>
  <c r="AS218" i="10"/>
  <c r="AS221" i="10"/>
  <c r="AV230" i="10"/>
  <c r="AV205" i="10"/>
  <c r="AV16" i="10"/>
  <c r="AV213" i="10"/>
  <c r="J253" i="10"/>
  <c r="J202" i="10"/>
  <c r="J204" i="10"/>
  <c r="AA104" i="10"/>
  <c r="AC104" i="10" s="1"/>
  <c r="AS28" i="10"/>
  <c r="AS252" i="10"/>
  <c r="AD57" i="10"/>
  <c r="AD253" i="10"/>
  <c r="AD218" i="10"/>
  <c r="AD30" i="10"/>
  <c r="AD19" i="10"/>
  <c r="J92" i="10"/>
  <c r="M7" i="10"/>
  <c r="N7" i="10" s="1"/>
  <c r="M11" i="10"/>
  <c r="J7" i="10"/>
  <c r="AA57" i="10"/>
  <c r="AV57" i="10" s="1"/>
  <c r="AA44" i="10"/>
  <c r="AV44" i="10" s="1"/>
  <c r="AA253" i="10"/>
  <c r="AA221" i="10"/>
  <c r="AV221" i="10" s="1"/>
  <c r="AA218" i="10"/>
  <c r="AV218" i="10" s="1"/>
  <c r="AA30" i="10"/>
  <c r="AA28" i="10"/>
  <c r="AV28" i="10" s="1"/>
  <c r="AA252" i="10"/>
  <c r="AV252" i="10" s="1"/>
  <c r="AA19" i="10"/>
  <c r="O227" i="10"/>
  <c r="AD28" i="10" l="1"/>
  <c r="AD29" i="10"/>
  <c r="AD252" i="10"/>
  <c r="AD16" i="10"/>
  <c r="AD18" i="10"/>
  <c r="AD17" i="10"/>
  <c r="K7" i="10"/>
  <c r="AV17" i="10"/>
  <c r="AV104" i="10"/>
  <c r="AD221" i="10"/>
  <c r="O221" i="10"/>
  <c r="D6" i="10"/>
  <c r="A33" i="10"/>
  <c r="L31" i="10"/>
  <c r="L45" i="10" s="1"/>
  <c r="D5" i="10"/>
  <c r="AC30" i="10"/>
  <c r="AC19" i="10"/>
  <c r="AA90" i="10"/>
  <c r="AC90" i="10" s="1"/>
  <c r="AV90" i="10" s="1"/>
  <c r="AA89" i="10"/>
  <c r="AC89" i="10" s="1"/>
  <c r="AV89" i="10" s="1"/>
  <c r="AC44" i="10"/>
  <c r="AC28" i="10"/>
  <c r="AC221" i="10"/>
  <c r="AC218" i="10"/>
  <c r="AC252" i="10"/>
  <c r="AS90" i="10"/>
  <c r="AS89" i="10"/>
  <c r="A50" i="10" l="1"/>
  <c r="D284" i="10" s="1"/>
  <c r="G4" i="10" s="1"/>
  <c r="H6" i="10" s="1"/>
  <c r="A49" i="10"/>
  <c r="D283" i="10" s="1"/>
  <c r="A48" i="10"/>
  <c r="N284" i="10" s="1"/>
  <c r="G10" i="10" s="1"/>
  <c r="H10" i="10" s="1"/>
  <c r="A47" i="10"/>
  <c r="D281" i="10"/>
  <c r="J218" i="10"/>
  <c r="L281" i="10" l="1"/>
  <c r="L284" i="10"/>
  <c r="G9" i="10" s="1"/>
  <c r="H9" i="10" s="1"/>
  <c r="C288" i="10"/>
  <c r="D11" i="10"/>
  <c r="C291" i="10"/>
  <c r="D8" i="10"/>
  <c r="B179" i="9"/>
  <c r="A271" i="10"/>
  <c r="D282" i="10" s="1"/>
  <c r="D285" i="10" s="1"/>
  <c r="L268" i="10"/>
  <c r="C284" i="10"/>
  <c r="G5" i="10" s="1"/>
  <c r="H5" i="10" s="1"/>
  <c r="J75" i="10"/>
  <c r="J108" i="10" s="1"/>
  <c r="J4" i="10" l="1"/>
  <c r="J191" i="10"/>
  <c r="M187" i="10"/>
  <c r="J187" i="10"/>
  <c r="M186" i="10"/>
  <c r="J182" i="10"/>
  <c r="M181" i="10"/>
  <c r="M180" i="10"/>
  <c r="M179" i="10"/>
  <c r="M178" i="10"/>
  <c r="M177" i="10"/>
  <c r="M176" i="10"/>
  <c r="M175" i="10"/>
  <c r="M174" i="10"/>
  <c r="M173" i="10"/>
  <c r="M172" i="10"/>
  <c r="M171" i="10"/>
  <c r="M170" i="10"/>
  <c r="M196" i="10"/>
  <c r="M169" i="10"/>
  <c r="M168" i="10"/>
  <c r="M167" i="10"/>
  <c r="M166" i="10"/>
  <c r="M165" i="10"/>
  <c r="M164" i="10"/>
  <c r="M163" i="10"/>
  <c r="M162" i="10"/>
  <c r="M161" i="10"/>
  <c r="M146" i="10"/>
  <c r="O84" i="10"/>
  <c r="O83" i="10"/>
  <c r="O82" i="10"/>
  <c r="O81" i="10"/>
  <c r="O80" i="10"/>
  <c r="O79" i="10"/>
  <c r="O29" i="10"/>
  <c r="O31" i="10" s="1"/>
  <c r="O78" i="10"/>
  <c r="O77" i="10"/>
  <c r="O76" i="10"/>
  <c r="O75" i="10"/>
  <c r="O152" i="10"/>
  <c r="O268" i="10" s="1"/>
  <c r="D4" i="10"/>
  <c r="K15" i="9"/>
  <c r="N15" i="9"/>
  <c r="N32" i="9"/>
  <c r="K162" i="9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8" i="11"/>
  <c r="H120" i="11"/>
  <c r="C121" i="11"/>
  <c r="F121" i="11"/>
  <c r="H121" i="11"/>
  <c r="H43" i="11"/>
  <c r="H44" i="11"/>
  <c r="H45" i="11"/>
  <c r="H46" i="11"/>
  <c r="H47" i="11"/>
  <c r="H48" i="11"/>
  <c r="H49" i="11"/>
  <c r="H50" i="11"/>
  <c r="H51" i="11"/>
  <c r="C60" i="11"/>
  <c r="F60" i="11"/>
  <c r="H60" i="11"/>
  <c r="M39" i="11"/>
  <c r="H39" i="11"/>
  <c r="F39" i="11"/>
  <c r="C39" i="11"/>
  <c r="M23" i="11"/>
  <c r="H23" i="11"/>
  <c r="F23" i="11"/>
  <c r="C23" i="11"/>
  <c r="H18" i="11"/>
  <c r="H19" i="11"/>
  <c r="M15" i="11"/>
  <c r="H15" i="11"/>
  <c r="F15" i="11"/>
  <c r="C15" i="11"/>
  <c r="C4" i="11"/>
  <c r="C5" i="11"/>
  <c r="C6" i="11"/>
  <c r="F7" i="11"/>
  <c r="I7" i="11"/>
  <c r="I8" i="11"/>
  <c r="N31" i="9"/>
  <c r="N30" i="9"/>
  <c r="K156" i="9"/>
  <c r="N6" i="9"/>
  <c r="N157" i="9"/>
  <c r="N7" i="9"/>
  <c r="N155" i="9"/>
  <c r="N13" i="9"/>
  <c r="N18" i="9"/>
  <c r="N8" i="9"/>
  <c r="N156" i="9"/>
  <c r="A1" i="9"/>
  <c r="G154" i="9" s="1"/>
  <c r="J252" i="10"/>
  <c r="N9" i="9"/>
  <c r="N151" i="9"/>
  <c r="K151" i="9"/>
  <c r="F151" i="9"/>
  <c r="O60" i="10" l="1"/>
  <c r="O45" i="10"/>
  <c r="O284" i="10"/>
  <c r="M284" i="10"/>
  <c r="N283" i="10"/>
  <c r="J10" i="10" s="1"/>
  <c r="C283" i="10"/>
  <c r="J5" i="10" s="1"/>
  <c r="M4" i="10"/>
  <c r="N6" i="10" s="1"/>
  <c r="K6" i="10"/>
  <c r="O108" i="10"/>
  <c r="J45" i="10"/>
  <c r="J268" i="10"/>
  <c r="G32" i="9"/>
  <c r="E14" i="9"/>
  <c r="E15" i="9"/>
  <c r="G14" i="9"/>
  <c r="G29" i="9"/>
  <c r="G15" i="9"/>
  <c r="E162" i="9"/>
  <c r="G162" i="9"/>
  <c r="E10" i="9"/>
  <c r="G10" i="9"/>
  <c r="G12" i="9"/>
  <c r="E12" i="9"/>
  <c r="E19" i="9"/>
  <c r="G160" i="9"/>
  <c r="E160" i="9"/>
  <c r="G19" i="9"/>
  <c r="G31" i="9"/>
  <c r="G17" i="9"/>
  <c r="E17" i="9"/>
  <c r="E159" i="9"/>
  <c r="G159" i="9"/>
  <c r="G156" i="9"/>
  <c r="E156" i="9"/>
  <c r="F157" i="9"/>
  <c r="G35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2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63" i="9"/>
  <c r="N35" i="9"/>
  <c r="N29" i="9"/>
  <c r="N33" i="9"/>
  <c r="N34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161" i="9"/>
  <c r="N58" i="9"/>
  <c r="N59" i="9"/>
  <c r="N11" i="9"/>
  <c r="N60" i="9"/>
  <c r="N61" i="9"/>
  <c r="N62" i="9"/>
  <c r="N16" i="9"/>
  <c r="N63" i="9"/>
  <c r="N64" i="9"/>
  <c r="N67" i="9"/>
  <c r="N66" i="9"/>
  <c r="N65" i="9"/>
  <c r="N158" i="9"/>
  <c r="N22" i="9" s="1"/>
  <c r="N154" i="9"/>
  <c r="N152" i="9"/>
  <c r="N153" i="9"/>
  <c r="A167" i="9"/>
  <c r="A166" i="9"/>
  <c r="A165" i="9"/>
  <c r="A70" i="9"/>
  <c r="A69" i="9"/>
  <c r="A71" i="9"/>
  <c r="A24" i="9"/>
  <c r="A23" i="9"/>
  <c r="A37" i="9"/>
  <c r="A38" i="9"/>
  <c r="A39" i="9"/>
  <c r="A25" i="9"/>
  <c r="F6" i="9"/>
  <c r="F152" i="9"/>
  <c r="F153" i="9"/>
  <c r="L164" i="9"/>
  <c r="C182" i="9" s="1"/>
  <c r="L68" i="9"/>
  <c r="C181" i="9" s="1"/>
  <c r="L36" i="9"/>
  <c r="L22" i="9"/>
  <c r="C179" i="9" s="1"/>
  <c r="G147" i="9"/>
  <c r="K29" i="9"/>
  <c r="K36" i="9" s="1"/>
  <c r="K153" i="9"/>
  <c r="C164" i="9"/>
  <c r="G148" i="9"/>
  <c r="G145" i="9"/>
  <c r="G146" i="9"/>
  <c r="G144" i="9"/>
  <c r="G143" i="9"/>
  <c r="G141" i="9"/>
  <c r="J36" i="9"/>
  <c r="E36" i="9"/>
  <c r="B36" i="9"/>
  <c r="C36" i="9"/>
  <c r="B180" i="9" s="1"/>
  <c r="A182" i="9"/>
  <c r="A181" i="9"/>
  <c r="A180" i="9"/>
  <c r="A179" i="9"/>
  <c r="G142" i="9"/>
  <c r="K5" i="10" l="1"/>
  <c r="C282" i="10"/>
  <c r="M5" i="10" s="1"/>
  <c r="N281" i="10"/>
  <c r="O281" i="10" s="1"/>
  <c r="C281" i="10"/>
  <c r="L282" i="10"/>
  <c r="M9" i="10" s="1"/>
  <c r="L283" i="10"/>
  <c r="J9" i="10" s="1"/>
  <c r="N282" i="10"/>
  <c r="M10" i="10" s="1"/>
  <c r="C290" i="10"/>
  <c r="C293" i="10" s="1"/>
  <c r="C175" i="9"/>
  <c r="C173" i="9"/>
  <c r="C174" i="9"/>
  <c r="P175" i="9"/>
  <c r="F10" i="11" s="1"/>
  <c r="J175" i="9"/>
  <c r="F9" i="11" s="1"/>
  <c r="N68" i="9"/>
  <c r="B173" i="9"/>
  <c r="J173" i="9"/>
  <c r="J174" i="9"/>
  <c r="N164" i="9"/>
  <c r="N36" i="9"/>
  <c r="G140" i="9"/>
  <c r="D7" i="10"/>
  <c r="D9" i="10" s="1"/>
  <c r="D12" i="10" s="1"/>
  <c r="C285" i="10" l="1"/>
  <c r="L285" i="10"/>
  <c r="M285" i="10" s="1"/>
  <c r="M281" i="10"/>
  <c r="O283" i="10"/>
  <c r="N285" i="10"/>
  <c r="O285" i="10" s="1"/>
  <c r="M282" i="10"/>
  <c r="M283" i="10"/>
  <c r="O282" i="10"/>
  <c r="I9" i="11"/>
  <c r="F4" i="11"/>
  <c r="G10" i="11" s="1"/>
  <c r="I4" i="11"/>
  <c r="K175" i="9"/>
  <c r="C176" i="9"/>
  <c r="Q175" i="9"/>
  <c r="J176" i="9"/>
  <c r="G9" i="11" l="1"/>
  <c r="K9" i="10"/>
  <c r="K10" i="10"/>
  <c r="J9" i="11"/>
  <c r="G61" i="9"/>
  <c r="G59" i="9"/>
  <c r="G21" i="9"/>
  <c r="K22" i="9"/>
  <c r="B164" i="9"/>
  <c r="B68" i="9"/>
  <c r="B22" i="9"/>
  <c r="K126" i="9"/>
  <c r="K116" i="9"/>
  <c r="K121" i="9"/>
  <c r="J22" i="9"/>
  <c r="J68" i="9"/>
  <c r="J164" i="9"/>
  <c r="K105" i="9"/>
  <c r="F114" i="9"/>
  <c r="K99" i="9"/>
  <c r="M68" i="9"/>
  <c r="K51" i="9"/>
  <c r="K161" i="9"/>
  <c r="M164" i="9"/>
  <c r="F52" i="9"/>
  <c r="F53" i="9"/>
  <c r="F54" i="9"/>
  <c r="F55" i="9"/>
  <c r="C68" i="9"/>
  <c r="B181" i="9" s="1"/>
  <c r="M22" i="9"/>
  <c r="K98" i="9"/>
  <c r="B182" i="9"/>
  <c r="C22" i="9"/>
  <c r="O22" i="9"/>
  <c r="J169" i="9" l="1"/>
  <c r="B183" i="9"/>
  <c r="C169" i="9"/>
  <c r="C10" i="11"/>
  <c r="C7" i="11"/>
  <c r="C8" i="11" s="1"/>
  <c r="G8" i="9"/>
  <c r="E8" i="9"/>
  <c r="E18" i="9"/>
  <c r="G18" i="9"/>
  <c r="G13" i="9"/>
  <c r="E13" i="9"/>
  <c r="G155" i="9"/>
  <c r="E155" i="9"/>
  <c r="E7" i="9"/>
  <c r="G7" i="9"/>
  <c r="G30" i="9"/>
  <c r="E9" i="9"/>
  <c r="G9" i="9"/>
  <c r="E151" i="9"/>
  <c r="G151" i="9"/>
  <c r="E157" i="9"/>
  <c r="G157" i="9"/>
  <c r="G33" i="9"/>
  <c r="G34" i="9"/>
  <c r="G6" i="9"/>
  <c r="B175" i="9"/>
  <c r="B174" i="9"/>
  <c r="I5" i="11" s="1"/>
  <c r="J5" i="11" s="1"/>
  <c r="E6" i="9"/>
  <c r="G153" i="9"/>
  <c r="G150" i="9"/>
  <c r="G152" i="9"/>
  <c r="G149" i="9"/>
  <c r="E153" i="9"/>
  <c r="E154" i="9"/>
  <c r="E152" i="9"/>
  <c r="P174" i="9"/>
  <c r="P173" i="9"/>
  <c r="G64" i="9"/>
  <c r="D179" i="9"/>
  <c r="E179" i="9" s="1"/>
  <c r="D182" i="9"/>
  <c r="E182" i="9" s="1"/>
  <c r="D181" i="9"/>
  <c r="E181" i="9" s="1"/>
  <c r="G60" i="9"/>
  <c r="G62" i="9"/>
  <c r="G158" i="9"/>
  <c r="E158" i="9"/>
  <c r="E133" i="9"/>
  <c r="E132" i="9"/>
  <c r="G11" i="9"/>
  <c r="G63" i="9"/>
  <c r="G58" i="9"/>
  <c r="G16" i="9"/>
  <c r="E129" i="9"/>
  <c r="E128" i="9"/>
  <c r="E130" i="9"/>
  <c r="E127" i="9"/>
  <c r="E61" i="9"/>
  <c r="E123" i="9"/>
  <c r="E63" i="9"/>
  <c r="E125" i="9"/>
  <c r="E121" i="9"/>
  <c r="K68" i="9"/>
  <c r="E11" i="9"/>
  <c r="E57" i="9"/>
  <c r="E120" i="9"/>
  <c r="E124" i="9"/>
  <c r="E116" i="9"/>
  <c r="E56" i="9"/>
  <c r="E59" i="9"/>
  <c r="E114" i="9"/>
  <c r="E51" i="9"/>
  <c r="E50" i="9"/>
  <c r="E118" i="9"/>
  <c r="E55" i="9"/>
  <c r="E49" i="9"/>
  <c r="E52" i="9"/>
  <c r="E43" i="9"/>
  <c r="E53" i="9"/>
  <c r="E58" i="9"/>
  <c r="E44" i="9"/>
  <c r="E47" i="9"/>
  <c r="E64" i="9"/>
  <c r="E45" i="9"/>
  <c r="E46" i="9"/>
  <c r="E54" i="9"/>
  <c r="E48" i="9"/>
  <c r="E16" i="9"/>
  <c r="I10" i="11" l="1"/>
  <c r="J10" i="11" s="1"/>
  <c r="F5" i="11"/>
  <c r="G5" i="11" s="1"/>
  <c r="P176" i="9"/>
  <c r="Q176" i="9" s="1"/>
  <c r="B176" i="9"/>
  <c r="Q173" i="9"/>
  <c r="D180" i="9"/>
  <c r="E180" i="9" s="1"/>
  <c r="Q174" i="9"/>
  <c r="K174" i="9"/>
  <c r="N9" i="10"/>
  <c r="K173" i="9"/>
  <c r="N5" i="10" l="1"/>
  <c r="N10" i="10"/>
  <c r="K17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Brett</author>
    <author>Brett Murphy</author>
  </authors>
  <commentList>
    <comment ref="J8" authorId="0" shapeId="0" xr:uid="{E9A77F8B-7C67-44F3-A9B9-0BC1BE635172}">
      <text>
        <r>
          <rPr>
            <b/>
            <sz val="9"/>
            <color indexed="81"/>
            <rFont val="Tahoma"/>
            <family val="2"/>
          </rPr>
          <t>Brett:</t>
        </r>
        <r>
          <rPr>
            <sz val="9"/>
            <color indexed="81"/>
            <rFont val="Tahoma"/>
            <family val="2"/>
          </rPr>
          <t xml:space="preserve">
Had 5</t>
        </r>
      </text>
    </comment>
    <comment ref="H41" authorId="1" shapeId="0" xr:uid="{A5CE1C8B-3103-47D4-87DD-53DB96D6AB5F}">
      <text>
        <r>
          <rPr>
            <sz val="11"/>
            <color theme="1"/>
            <rFont val="Calibri"/>
            <family val="2"/>
            <scheme val="minor"/>
          </rPr>
          <t>Brett Murphy:
24.1% w/ Expansion ($7M cost; $1M earnout)</t>
        </r>
      </text>
    </comment>
    <comment ref="H248" authorId="1" shapeId="0" xr:uid="{1A78B04A-9679-4C83-A2D8-9F2719DA5EE1}">
      <text>
        <r>
          <rPr>
            <sz val="11"/>
            <color theme="1"/>
            <rFont val="Calibri"/>
            <family val="2"/>
            <scheme val="minor"/>
          </rPr>
          <t>Brett Murphy:
26.1% with expansion</t>
        </r>
      </text>
    </comment>
  </commentList>
</comments>
</file>

<file path=xl/sharedStrings.xml><?xml version="1.0" encoding="utf-8"?>
<sst xmlns="http://schemas.openxmlformats.org/spreadsheetml/2006/main" count="4875" uniqueCount="901">
  <si>
    <t>Property Name</t>
  </si>
  <si>
    <t>City</t>
  </si>
  <si>
    <t>State</t>
  </si>
  <si>
    <t>Stage</t>
  </si>
  <si>
    <t>Purchase Price</t>
  </si>
  <si>
    <t>Property Type</t>
  </si>
  <si>
    <t>Total Slips/Racks</t>
  </si>
  <si>
    <t>Est Occ%</t>
  </si>
  <si>
    <t>Source</t>
  </si>
  <si>
    <t>Ownership</t>
  </si>
  <si>
    <t>SM Prospect?</t>
  </si>
  <si>
    <t>Acres</t>
  </si>
  <si>
    <t>Notes</t>
  </si>
  <si>
    <t>Closing Status</t>
  </si>
  <si>
    <t>ANALYZING</t>
  </si>
  <si>
    <t> </t>
  </si>
  <si>
    <t>Year</t>
  </si>
  <si>
    <t>Financials?</t>
  </si>
  <si>
    <t>Marina Name</t>
  </si>
  <si>
    <t>Info Received</t>
  </si>
  <si>
    <t>Time In Progress</t>
  </si>
  <si>
    <t>Deadline</t>
  </si>
  <si>
    <t>Time to Deadline</t>
  </si>
  <si>
    <t>Deal Source</t>
  </si>
  <si>
    <t>Total Slips/Racks/RV Sites</t>
  </si>
  <si>
    <t>List/Expected Price</t>
  </si>
  <si>
    <t>SM Price</t>
  </si>
  <si>
    <t>Discount to List</t>
  </si>
  <si>
    <t>Status</t>
  </si>
  <si>
    <t>Stock Island Land</t>
  </si>
  <si>
    <t>Stock Island</t>
  </si>
  <si>
    <t>FL</t>
  </si>
  <si>
    <t>Broker</t>
  </si>
  <si>
    <t>Market</t>
  </si>
  <si>
    <t>Completed</t>
  </si>
  <si>
    <t>Yes</t>
  </si>
  <si>
    <t>Expansion to Stock Island</t>
  </si>
  <si>
    <t>Cat's Paw Marina</t>
  </si>
  <si>
    <t>St. Augustine</t>
  </si>
  <si>
    <t>Finalizing</t>
  </si>
  <si>
    <t>Now on market with CB - Seller said she'd entertain a JV or clean exit - too big a project for her to complete alone; Cost basis is rich; too much weight on FV and exit - returns not there and seller sticking to profit expectations.</t>
  </si>
  <si>
    <t>Port Dania</t>
  </si>
  <si>
    <t>TBD</t>
  </si>
  <si>
    <t>Dania Beach</t>
  </si>
  <si>
    <t>In Progress</t>
  </si>
  <si>
    <t>CBRE; we'd want F3 FTL over this opp.</t>
  </si>
  <si>
    <t>Sands Harbor Marina</t>
  </si>
  <si>
    <t>Pompano Beach</t>
  </si>
  <si>
    <t>Off-Market</t>
  </si>
  <si>
    <t>Was on market with CBRE 2x; reviewing latest information.</t>
  </si>
  <si>
    <t>Kirkland Homeport Marina</t>
  </si>
  <si>
    <t>ASAP</t>
  </si>
  <si>
    <t>Kirkland</t>
  </si>
  <si>
    <t>WA</t>
  </si>
  <si>
    <t>Engaging a few groups; Suntex is one of them; excellent facility</t>
  </si>
  <si>
    <t>King Harbor Marina</t>
  </si>
  <si>
    <t>Redondo Beach</t>
  </si>
  <si>
    <t>CA</t>
  </si>
  <si>
    <t>Need to get longer lease; tied to capex spend on property</t>
  </si>
  <si>
    <t>Eastport Yacht Center</t>
  </si>
  <si>
    <t>Annapolis</t>
  </si>
  <si>
    <t>Maryland</t>
  </si>
  <si>
    <t>Future opportunity to acquire land in between for additional slips and upland amenities.</t>
  </si>
  <si>
    <t>HAVN</t>
  </si>
  <si>
    <t>Palm Beach</t>
  </si>
  <si>
    <t>CBRE</t>
  </si>
  <si>
    <t>Xtreme Cove Marina</t>
  </si>
  <si>
    <t>Eufaula</t>
  </si>
  <si>
    <t>OK</t>
  </si>
  <si>
    <t>Low rates; 400+ slips; opportunity to expand by 200; more to uncover; largest on this lake.</t>
  </si>
  <si>
    <t>USVI Marinas (2)</t>
  </si>
  <si>
    <t>St. Thomas</t>
  </si>
  <si>
    <t>USVI</t>
  </si>
  <si>
    <t>Oakdale Yacht Club</t>
  </si>
  <si>
    <t>Oakdale</t>
  </si>
  <si>
    <t>NY</t>
  </si>
  <si>
    <t>Madiera Dev Site</t>
  </si>
  <si>
    <t>Madeira Beach</t>
  </si>
  <si>
    <t>Development of wet slips; upland might be available as well, but at this stage just wet slips; 69-89</t>
  </si>
  <si>
    <t>Mangrove Marina</t>
  </si>
  <si>
    <t>Key Largo</t>
  </si>
  <si>
    <t>JDF Marina</t>
  </si>
  <si>
    <t>Panama City Beach</t>
  </si>
  <si>
    <t>Development opportunity</t>
  </si>
  <si>
    <t>= 2023 Deals</t>
  </si>
  <si>
    <t># Off-Market</t>
  </si>
  <si>
    <t>= 2024 Deals</t>
  </si>
  <si>
    <t>= 2025 Deals</t>
  </si>
  <si>
    <t>ACTIVE DEALS</t>
  </si>
  <si>
    <t>Offer Price</t>
  </si>
  <si>
    <t>LOI Date</t>
  </si>
  <si>
    <t>Time Since LOI</t>
  </si>
  <si>
    <t>Hingham Shipyard Marinas</t>
  </si>
  <si>
    <t>Hingham</t>
  </si>
  <si>
    <t>MA</t>
  </si>
  <si>
    <t>Fee Simple; License</t>
  </si>
  <si>
    <t>LOI Submitted</t>
  </si>
  <si>
    <t>Other bidders reviewing information.</t>
  </si>
  <si>
    <t>Castaways Yacht Club</t>
  </si>
  <si>
    <t>New Rochelle</t>
  </si>
  <si>
    <t>Fee Simple</t>
  </si>
  <si>
    <t>Seller wants to retain dealership/brokerage and pay marina owner rent.</t>
  </si>
  <si>
    <t>Sundance Marina Jensen Beach</t>
  </si>
  <si>
    <t>Stuart</t>
  </si>
  <si>
    <t>OneWater lease expires Jan. 2026; full marina comes in-house at that time.</t>
  </si>
  <si>
    <t>Surfside 3 Marina</t>
  </si>
  <si>
    <t>Lindenhurst</t>
  </si>
  <si>
    <t>Upside in storage capacity; 35' avg. boat length; synergies with West Shore; opp. with fuel, club, etc.</t>
  </si>
  <si>
    <t>Hidden Harbor Marina</t>
  </si>
  <si>
    <t>Sarasota</t>
  </si>
  <si>
    <t>Fee Simple; SLL</t>
  </si>
  <si>
    <t>LOI Ready</t>
  </si>
  <si>
    <t>Revenue reimbursements on CAM, Prop Taxes, Prop Insurance; Racks have amendments to MPP</t>
  </si>
  <si>
    <t>All Seasons Land</t>
  </si>
  <si>
    <t>Marmora</t>
  </si>
  <si>
    <t>NJ</t>
  </si>
  <si>
    <t>n/a</t>
  </si>
  <si>
    <t>On Hold</t>
  </si>
  <si>
    <t>Additional land to absorb into All Seasons.</t>
  </si>
  <si>
    <t>LONG TERM</t>
  </si>
  <si>
    <t>Eldean Shipyard</t>
  </si>
  <si>
    <t>Macatawa</t>
  </si>
  <si>
    <t>MI</t>
  </si>
  <si>
    <t>Quality Boats of Charlotte Harbor</t>
  </si>
  <si>
    <t>Englewood</t>
  </si>
  <si>
    <t>Not the best location; expecting high supply for lower demand area; reinvestment from Port 32 and ELS expected at neighboring locations; Gasparilla Marina also in this market...</t>
  </si>
  <si>
    <t>MacRay Harbor</t>
  </si>
  <si>
    <t>Harrison</t>
  </si>
  <si>
    <t>Maryland Marina</t>
  </si>
  <si>
    <t>Middle River</t>
  </si>
  <si>
    <t>MD</t>
  </si>
  <si>
    <t>Conversation started; neighbor to Long Beach Marina</t>
  </si>
  <si>
    <t>Fortman Marina</t>
  </si>
  <si>
    <t>Alameda</t>
  </si>
  <si>
    <t>Conversation started</t>
  </si>
  <si>
    <t>Pier 7 Resort Marina</t>
  </si>
  <si>
    <t>Edgewater</t>
  </si>
  <si>
    <t>Completed; On Hold</t>
  </si>
  <si>
    <t>Get Eastport then pair this with it</t>
  </si>
  <si>
    <t>Portofino Marina &amp; Hotel</t>
  </si>
  <si>
    <t>Noble House not ready</t>
  </si>
  <si>
    <t>Long Beach Marina</t>
  </si>
  <si>
    <t>Too small for us now; sellers may continue operating this season and bring in the restaurant operator.</t>
  </si>
  <si>
    <t>Tierra Verde Marina</t>
  </si>
  <si>
    <t>Tierra Verde</t>
  </si>
  <si>
    <t>Price point less than where seller is expecting; expansion opportunity with dry racks; current is strong.</t>
  </si>
  <si>
    <t>Shore Point Marina</t>
  </si>
  <si>
    <t>Toms River</t>
  </si>
  <si>
    <t>Long-Term</t>
  </si>
  <si>
    <t>Expansion opportunity with racks; ~300 boats on land for winter storage</t>
  </si>
  <si>
    <t>Taha Marine Center</t>
  </si>
  <si>
    <t>Waiting on Financials</t>
  </si>
  <si>
    <t>Shelter Cove Marina</t>
  </si>
  <si>
    <t>San Diego</t>
  </si>
  <si>
    <t>Submitted indication to see if seller will adjust expectations</t>
  </si>
  <si>
    <t>Dewey Beach Portfolio</t>
  </si>
  <si>
    <t>Dewey Beach</t>
  </si>
  <si>
    <t>DE</t>
  </si>
  <si>
    <t>Westpoint Harbor Marina</t>
  </si>
  <si>
    <t>Redwood City</t>
  </si>
  <si>
    <t>Too much risk with the lease scenario, and a purchase option will trigger re-zoning, much higher property taxes, etc. Seller price expectations on that front also unrealistic.</t>
  </si>
  <si>
    <t>Hurricane Hole Superyacht Marina</t>
  </si>
  <si>
    <t>Nassau</t>
  </si>
  <si>
    <t>Bahamas</t>
  </si>
  <si>
    <t>6,100 LF</t>
  </si>
  <si>
    <t>Open to varioius structures, including JV for just a portion of the deal.</t>
  </si>
  <si>
    <t>Conch House Marina</t>
  </si>
  <si>
    <t>La Conner Marina</t>
  </si>
  <si>
    <t>La Conner</t>
  </si>
  <si>
    <t>Development</t>
  </si>
  <si>
    <t>Twin Bridges Marina</t>
  </si>
  <si>
    <t>Permitting the second building now.</t>
  </si>
  <si>
    <t>Strong's Portfolio (3 Marinas)</t>
  </si>
  <si>
    <t>Mattituck</t>
  </si>
  <si>
    <t>~800</t>
  </si>
  <si>
    <t>Britannia Yachting Center</t>
  </si>
  <si>
    <t>Peter Houmere</t>
  </si>
  <si>
    <t>Northport</t>
  </si>
  <si>
    <t>Green Cay Marina</t>
  </si>
  <si>
    <t>St. Croix</t>
  </si>
  <si>
    <t>Separating marina from 40-room resort and restaurants; comingled P&amp;L is challenging to delineate true marina-only expenses..</t>
  </si>
  <si>
    <t>Hoffman's Marina</t>
  </si>
  <si>
    <t>Brielle</t>
  </si>
  <si>
    <t>Originally at $20m when service and F&amp;B on leases; Seller working on a $480k/yr. lease for F&amp;B, which puts our price point closer to $27-28m. Still wants $30m.</t>
  </si>
  <si>
    <t>DEAD DEALS</t>
  </si>
  <si>
    <t>Rivertowne Marina &amp; Tucker's Landing</t>
  </si>
  <si>
    <t>Sold</t>
  </si>
  <si>
    <t>Cincinnatti</t>
  </si>
  <si>
    <t>OH</t>
  </si>
  <si>
    <t>Pass</t>
  </si>
  <si>
    <t>Low occupancy (60% in racks)</t>
  </si>
  <si>
    <t>All Island Marine</t>
  </si>
  <si>
    <t>Oceanside</t>
  </si>
  <si>
    <t>Heavy service and part sales; $7.5m price point</t>
  </si>
  <si>
    <t>Harbor at Lemon Bay</t>
  </si>
  <si>
    <t>Going in at $8.5m was a 5.5% cap; not strong enough market; hit market at $13.25m...</t>
  </si>
  <si>
    <t>Grafton Harbor Marina</t>
  </si>
  <si>
    <t>Grafton</t>
  </si>
  <si>
    <t>IL</t>
  </si>
  <si>
    <t>Low NOI and price point; Not ideal location</t>
  </si>
  <si>
    <t>Horizon Marina</t>
  </si>
  <si>
    <t>Alexandria Bay</t>
  </si>
  <si>
    <t>NOI low; remote location</t>
  </si>
  <si>
    <t>Spring Cove Marina</t>
  </si>
  <si>
    <t>Solomons</t>
  </si>
  <si>
    <t>Occupancy at 80-85%; lack of upside; too much cap-ex need</t>
  </si>
  <si>
    <t>Campbell Point Marina</t>
  </si>
  <si>
    <t>Shell Knob</t>
  </si>
  <si>
    <t>MO</t>
  </si>
  <si>
    <t>Poor market demos; bad rev mix with only 21% from storage</t>
  </si>
  <si>
    <t>Sierra Marina</t>
  </si>
  <si>
    <t>Shaver Lake</t>
  </si>
  <si>
    <t>Located on a smaller lake outside Fresno; lots of storage, but small deal.</t>
  </si>
  <si>
    <t>Timberlake Marina</t>
  </si>
  <si>
    <t>Chapin</t>
  </si>
  <si>
    <t>SC</t>
  </si>
  <si>
    <t>200 slips, no amenities, ~$450k NOI; small deal</t>
  </si>
  <si>
    <t>Niantic Bay Boat House</t>
  </si>
  <si>
    <t>New London</t>
  </si>
  <si>
    <t>CT</t>
  </si>
  <si>
    <t>Package deal with Thamesport; total package small investment; expansion opportunities, but stabilized NOI only $700-800k. Average demos within 15 minute drive</t>
  </si>
  <si>
    <t>Thamesport Marina</t>
  </si>
  <si>
    <t>Thamesport</t>
  </si>
  <si>
    <t>Marina Shores at Dune Harbor</t>
  </si>
  <si>
    <t>Portage</t>
  </si>
  <si>
    <t>IN</t>
  </si>
  <si>
    <t>Small price point of $7m for marina; additional dollars for 19 acres across harbor - 200 slips. Development about 33% sold; out of 309 property owners at completion, they have 110 - 35 of which have boats in the marina.</t>
  </si>
  <si>
    <t>New Smyrna Marina</t>
  </si>
  <si>
    <t>New Smyrna</t>
  </si>
  <si>
    <t>Small deal; majority of revenue from fuel and restaurant lease; would be more interesting with more wet slips (31).</t>
  </si>
  <si>
    <t>Shields Marina</t>
  </si>
  <si>
    <t>Tallahassee</t>
  </si>
  <si>
    <t>Lynn Brothers Marina</t>
  </si>
  <si>
    <t>One15 Brooklyn Marina</t>
  </si>
  <si>
    <t>Brooklyn</t>
  </si>
  <si>
    <t>Lost</t>
  </si>
  <si>
    <t>Revenues and EBITDA do not make sense with the third-party leases; getting confirmation</t>
  </si>
  <si>
    <t>Pirate's Cove &amp; Lighthouse</t>
  </si>
  <si>
    <t>Panama City</t>
  </si>
  <si>
    <t>Seller looking for $60M</t>
  </si>
  <si>
    <t>Watson Landings Marina</t>
  </si>
  <si>
    <t>Waves and Wheels</t>
  </si>
  <si>
    <t>Osage Beach</t>
  </si>
  <si>
    <t>Smaller deal, seller wants $8.5M, likely around $7M</t>
  </si>
  <si>
    <t>Cut's Edge Marina</t>
  </si>
  <si>
    <t>Palmetto</t>
  </si>
  <si>
    <t>Redevelopment deal; a lot of work; tight upland acreage</t>
  </si>
  <si>
    <t>Somers Point High &amp; Dry</t>
  </si>
  <si>
    <t>Somers Point</t>
  </si>
  <si>
    <t>Development deal for dry racks; numbers are tight; better to invest in All Seasons</t>
  </si>
  <si>
    <t>River City Marina</t>
  </si>
  <si>
    <t>Mooresville</t>
  </si>
  <si>
    <t>NC</t>
  </si>
  <si>
    <t xml:space="preserve">Lease-up deal and too small for us. </t>
  </si>
  <si>
    <t>Petaluma Marina</t>
  </si>
  <si>
    <t>Petaluma</t>
  </si>
  <si>
    <t>Needs work; dredging; small deal in bad location.</t>
  </si>
  <si>
    <t>South Shore Marina</t>
  </si>
  <si>
    <t>Leesville</t>
  </si>
  <si>
    <t>Small deal</t>
  </si>
  <si>
    <t>Cove Harbor Marina &amp; Drystack</t>
  </si>
  <si>
    <t>Rockport</t>
  </si>
  <si>
    <t>TX</t>
  </si>
  <si>
    <t>Texas</t>
  </si>
  <si>
    <t>Marina del Ray</t>
  </si>
  <si>
    <t>Madisonville</t>
  </si>
  <si>
    <t>LA</t>
  </si>
  <si>
    <t>We're early; replacing docks; smaller deal currently; will stay in touch.</t>
  </si>
  <si>
    <t>Grassy Key Marina</t>
  </si>
  <si>
    <t>Marathon</t>
  </si>
  <si>
    <t>Overpriced; small footprint.</t>
  </si>
  <si>
    <t>Salpare Bay Marina</t>
  </si>
  <si>
    <t>Portland</t>
  </si>
  <si>
    <t>OR</t>
  </si>
  <si>
    <t>All wet slips; one of the nicest marinas in the area; low NOI/too small for us; no real upside.</t>
  </si>
  <si>
    <t>Wehrlen Brothers Marina</t>
  </si>
  <si>
    <t>Brick</t>
  </si>
  <si>
    <t>Lakeview Resort</t>
  </si>
  <si>
    <t>Sunrise Beach</t>
  </si>
  <si>
    <t>Development deal</t>
  </si>
  <si>
    <t>Bartlett Lake Marina</t>
  </si>
  <si>
    <t>Scottsdale</t>
  </si>
  <si>
    <t>AZ</t>
  </si>
  <si>
    <t>Good upside opportunities; only marina on the lake; 1 hr. from Scottsdale, wealthy areas in between; passed because of water level concern - lake marina</t>
  </si>
  <si>
    <t>Vallejo Municipal Marina</t>
  </si>
  <si>
    <t>Vallejo</t>
  </si>
  <si>
    <t>City wants to sell - uncovering more about the situation, capex needs, etc.; likely a pass</t>
  </si>
  <si>
    <t>Rock Hall</t>
  </si>
  <si>
    <t>Broker reached out; too small</t>
  </si>
  <si>
    <t>North Point</t>
  </si>
  <si>
    <t>Waypoint Marine Group</t>
  </si>
  <si>
    <t>Seattle</t>
  </si>
  <si>
    <t>Asking a 4% cap rate; property conditions questionable; area feels very industrial; some uncertainty on existing boat tenants, legal bounds with DNR, and tenant strength. Low probability.</t>
  </si>
  <si>
    <t>D&amp;S Marina</t>
  </si>
  <si>
    <t>Tullytown</t>
  </si>
  <si>
    <t>PA</t>
  </si>
  <si>
    <t>Expansion opportunity on slips and winter storage (heated); bad area; no money; low rates ($100/ft.)</t>
  </si>
  <si>
    <t>Horse Creek Marina</t>
  </si>
  <si>
    <t>Celina</t>
  </si>
  <si>
    <t>TN</t>
  </si>
  <si>
    <t>On Dale Hollow Lake; smaller deal</t>
  </si>
  <si>
    <t>Boat Tree Marina</t>
  </si>
  <si>
    <t>Sanford</t>
  </si>
  <si>
    <t>Outside Orlando; approximate $1m NOI from marina, $700-800k once blended with sales, service and other expenses</t>
  </si>
  <si>
    <t>Vice Marina</t>
  </si>
  <si>
    <t>Miami</t>
  </si>
  <si>
    <t>26 current slips, ability to expand with 10 more; only marina in Brickell; seller wants $37-40m; Broker can't get me rent roll or other verifying documents...</t>
  </si>
  <si>
    <t>Southpoint + Westpoint Marinas (2)</t>
  </si>
  <si>
    <t>Rochester</t>
  </si>
  <si>
    <t>2 Marinas; close to each other; off Lake Ontario - too small</t>
  </si>
  <si>
    <t>Rock Hall Portfolio (2)</t>
  </si>
  <si>
    <t>Too small; location inferior to Annapolis.</t>
  </si>
  <si>
    <t>Ocean Beach Marinas</t>
  </si>
  <si>
    <t>Lavallette/Lanoka</t>
  </si>
  <si>
    <t>Market Bid</t>
  </si>
  <si>
    <t>243 leasable slips; 85 jet ski ports; 37 slips dedicated to service dept.; ~up to 493 land storage spaces; too small, especially with sale leaseback of sales/servic</t>
  </si>
  <si>
    <t>Portside Marina</t>
  </si>
  <si>
    <t>Morehead City</t>
  </si>
  <si>
    <t>Looked at in the past; interesting now to pair with MHCYB across the street; permitted to build another 200 racks alongside existing barn; office tenants on site under separate P&amp;L; pricing expectations too high.</t>
  </si>
  <si>
    <t>Morehead City Yacht Basin</t>
  </si>
  <si>
    <t>Too small; HOA aside from 6 slips, transient location.</t>
  </si>
  <si>
    <t>70 West Marina</t>
  </si>
  <si>
    <t>Smaller deal, need neighbor with this one to assemble into larger footprint and new barn - doesn't quite pencil with seller expectations.</t>
  </si>
  <si>
    <t>Atlantic Yacht Basin</t>
  </si>
  <si>
    <t>Chesapeake</t>
  </si>
  <si>
    <t>VA</t>
  </si>
  <si>
    <t xml:space="preserve">29 acres; upland expansion potential; on the ICW and Great Loop path; not enough storage income - heavy service/sales work; lots of subcontracting too. </t>
  </si>
  <si>
    <t>Willis Marine Center</t>
  </si>
  <si>
    <t>Huntington</t>
  </si>
  <si>
    <t xml:space="preserve">Adjacent to West Shore; could be interesting for expansion; slips, moorings, land storage and tenants. Great upside in better utilizing the space. Decision - crazy lease kills the deal. </t>
  </si>
  <si>
    <t>Banyan Bay Marine Center</t>
  </si>
  <si>
    <t>Fort Lauderdale</t>
  </si>
  <si>
    <t>Upside in building dry stack; 10 acres fee simple</t>
  </si>
  <si>
    <t>Long Lake Marina</t>
  </si>
  <si>
    <t>Naples</t>
  </si>
  <si>
    <t>ME</t>
  </si>
  <si>
    <t>Newburyport Portfolio (2)</t>
  </si>
  <si>
    <t>Newburyport</t>
  </si>
  <si>
    <t>Too small as they stand; broker may find other deals to add to the deal and have other holdings on the river; until then (or until we have a foothold in the Boston area) we are out.</t>
  </si>
  <si>
    <t>Treasure Island Yacht Club</t>
  </si>
  <si>
    <t>Treasure Island</t>
  </si>
  <si>
    <t>Jet Ride leases 17 of these slips; small deal; might not have much more upland potential for storage - upside on event venue, memberships, etc.</t>
  </si>
  <si>
    <t>Confidential: Shelter Bay Marine</t>
  </si>
  <si>
    <t>$800k NOI; run absentee; 63% of EBITDA from engine/part sales..</t>
  </si>
  <si>
    <t>Flat Hollow Resort &amp; Marina</t>
  </si>
  <si>
    <t>Speedwell</t>
  </si>
  <si>
    <t>Multiple revenue streams with even % of the business (fuel, retail, storage, etc.); heavy on Airbnb/VRBO; 75% vacancy but new slips added.</t>
  </si>
  <si>
    <t>Nickajack Marina &amp; Town Center</t>
  </si>
  <si>
    <t>Chattanooga</t>
  </si>
  <si>
    <t>Development deal; inland with 200 slips.</t>
  </si>
  <si>
    <t>2540 Westlake Ave.</t>
  </si>
  <si>
    <t>Smaller deal near Elliott Bay; commercial tenants; moving with another buyer and 2 back up offers in place</t>
  </si>
  <si>
    <t>Fishermen's Village</t>
  </si>
  <si>
    <t>Punta Gorda</t>
  </si>
  <si>
    <t>Majority of revenue driven by commercial tenants and resort; marina plays a minor part.</t>
  </si>
  <si>
    <t>Ft. Pierce Inlet Marina</t>
  </si>
  <si>
    <t>Fort Pierce</t>
  </si>
  <si>
    <t>Assemblage of upland parcels - mixed-use/dry stack; wet slip expansion; new barn should be going up next to Derecktor down the street.</t>
  </si>
  <si>
    <t>Garden Cove Marina</t>
  </si>
  <si>
    <t>Restaurant</t>
  </si>
  <si>
    <t>Mainly restaurant with smaller marina component - tight upland area that could add 50 more racks (maybe).</t>
  </si>
  <si>
    <t>Villa Del Mar</t>
  </si>
  <si>
    <t>Marina del Rey</t>
  </si>
  <si>
    <t>Not for us; $2.6m in slip rev, but $9m in rev from 198 apartments.</t>
  </si>
  <si>
    <t>Aviara Production Facility</t>
  </si>
  <si>
    <t>Merritt Island</t>
  </si>
  <si>
    <t>Land and buildings next to Harbortown - not the right fit to maximize.</t>
  </si>
  <si>
    <t>Marina on Main Street</t>
  </si>
  <si>
    <t>Fort Myers</t>
  </si>
  <si>
    <t>Redevelopment deal with permits in-place.</t>
  </si>
  <si>
    <t>Brooks Bridge Marina</t>
  </si>
  <si>
    <t>Fort Walton Beach</t>
  </si>
  <si>
    <t>43% occupancy; $538k NOI; not the owner's primary business; pass.</t>
  </si>
  <si>
    <t>Bree-Zee-Lee Yacht Basin</t>
  </si>
  <si>
    <t>Cape May</t>
  </si>
  <si>
    <t>Not at the expected $20-25m price.</t>
  </si>
  <si>
    <t>Bayside Marina</t>
  </si>
  <si>
    <t>Small deal size; redevelopment play to build new 300-rack barn; small strike price, questionable rate growth and customer sensitivity</t>
  </si>
  <si>
    <t>Sheltered Cove Marina</t>
  </si>
  <si>
    <t>Tuckerton</t>
  </si>
  <si>
    <t>250 slips; 300 on land; ~100+ dry racks can be built. Pass due to location and revenue mix (75% from boat sales, or 60% from service when boat sales is on a lease).</t>
  </si>
  <si>
    <t>Bay Harbor Marina</t>
  </si>
  <si>
    <t>Bay City</t>
  </si>
  <si>
    <t>Low rates averaging $2,450/season with a 35' boat average; wait list though with opp. to increase rate; weaker market, not much upside.</t>
  </si>
  <si>
    <t>Redwood Anchorage</t>
  </si>
  <si>
    <t>Sag Harbor</t>
  </si>
  <si>
    <t>Small deal with 60 slips and on-site rental house.</t>
  </si>
  <si>
    <t>Day Break Marine</t>
  </si>
  <si>
    <t>Pensacola</t>
  </si>
  <si>
    <t>Heavy boat sales, would need to put on a lease. 68% storage when sales are removed; ~$850k EBITDA on marina w/o sales.</t>
  </si>
  <si>
    <t>Stutts Marina</t>
  </si>
  <si>
    <t>Lake deal; 200 slips, $1.2m EBITDA; seems heavy ancillary.</t>
  </si>
  <si>
    <t>Berryessa Point</t>
  </si>
  <si>
    <t>Napa</t>
  </si>
  <si>
    <t>Lake marina development; leasehold interest.</t>
  </si>
  <si>
    <t>Duck Cove Marina</t>
  </si>
  <si>
    <t>Long Beach</t>
  </si>
  <si>
    <t>Smaller deal, broker says it does $1.2m bottom line; digging in to see how; 100 slips; 85 jet skis; commercial buildings on uplands. About $1.4m revenue...actually doing about $700k bottom line; targeting developers.</t>
  </si>
  <si>
    <t>Oceans Edge Resort &amp; Marina</t>
  </si>
  <si>
    <t>KSL not interested in more Keys exposure; Preliminary; next door to Stock; still exploring. They received an LOI and working through that. $15m NOI, getting details on % of NOI from marina vs. hotel.</t>
  </si>
  <si>
    <t>Volunteer Landing Marina</t>
  </si>
  <si>
    <t>Knoxville</t>
  </si>
  <si>
    <t>Too small; in Knoxville</t>
  </si>
  <si>
    <t>Oselka's Snug Harbor Marina</t>
  </si>
  <si>
    <t>New Buffalo</t>
  </si>
  <si>
    <t>33% storage; 30% boat rental; decent market and clientele - not right operational fit.</t>
  </si>
  <si>
    <t>Markley Cove Resort</t>
  </si>
  <si>
    <t>Lake marina near Suntex's Pleasure Cove Marina; high occ but low rate ($285/mo.); can expand another 36 long-term slips and 27 rental boat slips; has big ship store; boat club on-site</t>
  </si>
  <si>
    <t>Waterways Marina</t>
  </si>
  <si>
    <t>Richmond Hill</t>
  </si>
  <si>
    <t>GA</t>
  </si>
  <si>
    <t>200 racks; expansion to 99 slips; not ideal location for slips, low NOI - not our deal.</t>
  </si>
  <si>
    <t>Coles Point Marina &amp; RV Resort</t>
  </si>
  <si>
    <t>Hague</t>
  </si>
  <si>
    <t>Smaller deal; MMG owns; managed by Oasis.</t>
  </si>
  <si>
    <t>Surf City Marina Development (Dry Racks)</t>
  </si>
  <si>
    <t>Surf City</t>
  </si>
  <si>
    <t>Development deal - learning more; Sloop Point nearby with new racks; adjust capacity to accommodate more T Tops</t>
  </si>
  <si>
    <t>Cottonwood Cove Marina &amp; RV Resort</t>
  </si>
  <si>
    <t>Blair</t>
  </si>
  <si>
    <t>NE</t>
  </si>
  <si>
    <t>Interesting opporutnity outside Omaha; 200 slips can be added; 150 campsites can be added. Hang up will be on F&amp;B piece depending on how much rev it does; seller has operators in mind</t>
  </si>
  <si>
    <t>Angler's Avenue Marine Center</t>
  </si>
  <si>
    <t>Port Dania a better site - bridges to access this site and further up the canal; 159 existing, expand to 410+; 58' height clearance; development deal; 10+ acres fee simple; 90-ton travel lift.</t>
  </si>
  <si>
    <t>Lake Ouachita Shores Resort &amp; Marina</t>
  </si>
  <si>
    <t>Mt. Ida</t>
  </si>
  <si>
    <t>AR</t>
  </si>
  <si>
    <t xml:space="preserve">Low price point; needs work; inland marina; expansion opps on docks and RV sites. </t>
  </si>
  <si>
    <t>Triton Marina</t>
  </si>
  <si>
    <t>Elkton</t>
  </si>
  <si>
    <t>Low rate; tough market (Cecil County); generally smaller deal with some work needed; $8m seller target price.</t>
  </si>
  <si>
    <t>Sundance Marina Portfolio</t>
  </si>
  <si>
    <t>Owner open to sale leaseback of sales division; 3 dealerships (Portland, Seattle, Blaine); 4 marinas; 1 dry stack.</t>
  </si>
  <si>
    <t>Harbor Island West</t>
  </si>
  <si>
    <t>Tough deal; PP is low due to estimated $65m in development costs over 3 years, and achieving a great IRR.</t>
  </si>
  <si>
    <t>Pogy Place (Development Site)</t>
  </si>
  <si>
    <t>Fernandina Beach</t>
  </si>
  <si>
    <t>NAI - pricing TBD; not ideal location.</t>
  </si>
  <si>
    <t>303 NE Northlake</t>
  </si>
  <si>
    <t>Bay Bridge Marina</t>
  </si>
  <si>
    <t>Sold to Hinckley</t>
  </si>
  <si>
    <t>Manatee Marina</t>
  </si>
  <si>
    <t>~$500k EBITDA; tough location (much better alternatives); tight footprint; low capacity</t>
  </si>
  <si>
    <t>Financials Received</t>
  </si>
  <si>
    <t>Total Deals</t>
  </si>
  <si>
    <t>Total Off-Market</t>
  </si>
  <si>
    <t>Total SM Prospects</t>
  </si>
  <si>
    <t>Q4 2023 Totals</t>
  </si>
  <si>
    <t>2024 Totals</t>
  </si>
  <si>
    <t>2025 Totals</t>
  </si>
  <si>
    <t>Current Count</t>
  </si>
  <si>
    <t>Listed/Expected Value</t>
  </si>
  <si>
    <t>SM Valuation</t>
  </si>
  <si>
    <t>Disc. to List Price</t>
  </si>
  <si>
    <t>-</t>
  </si>
  <si>
    <t>SM Pipeline</t>
  </si>
  <si>
    <t>2026 YTD</t>
  </si>
  <si>
    <t>2024 Total</t>
  </si>
  <si>
    <t>Under Contract</t>
  </si>
  <si>
    <t>Deals Evaluated</t>
  </si>
  <si>
    <t>Under LOI</t>
  </si>
  <si>
    <t>Submitted Offers/To Be Submitted</t>
  </si>
  <si>
    <t>LOIs Issued</t>
  </si>
  <si>
    <t>Analyzing</t>
  </si>
  <si>
    <t>LOIs Signed</t>
  </si>
  <si>
    <t>Closed/Expected to Close</t>
  </si>
  <si>
    <t>SM Prospects</t>
  </si>
  <si>
    <t>Opportunities Reviewed</t>
  </si>
  <si>
    <t>% of LOIs Off-Market</t>
  </si>
  <si>
    <t>Total Underwritten</t>
  </si>
  <si>
    <t>LOI Details</t>
  </si>
  <si>
    <t>Due Diligence &amp; Closing Timeline</t>
  </si>
  <si>
    <t>Inspections</t>
  </si>
  <si>
    <t>Deposits</t>
  </si>
  <si>
    <t>IRR</t>
  </si>
  <si>
    <t>Submitted</t>
  </si>
  <si>
    <t>Signed</t>
  </si>
  <si>
    <t>Time in Deal</t>
  </si>
  <si>
    <t>Third-Party Company</t>
  </si>
  <si>
    <t>Lender</t>
  </si>
  <si>
    <t>Deposit #1</t>
  </si>
  <si>
    <t>Deposit #2</t>
  </si>
  <si>
    <t>Total Deposit</t>
  </si>
  <si>
    <t>DD List Sent</t>
  </si>
  <si>
    <t>PSA Draftee</t>
  </si>
  <si>
    <t>PSA Signed</t>
  </si>
  <si>
    <t>DD Start Date</t>
  </si>
  <si>
    <t>DD Period (Days)</t>
  </si>
  <si>
    <t>DD Extension (Days)</t>
  </si>
  <si>
    <t>DD Expiration</t>
  </si>
  <si>
    <t># of Days to Close</t>
  </si>
  <si>
    <t>Closing Date</t>
  </si>
  <si>
    <t>Days</t>
  </si>
  <si>
    <t>PCA</t>
  </si>
  <si>
    <t>On-Site Date</t>
  </si>
  <si>
    <t>ESA</t>
  </si>
  <si>
    <t>Survey</t>
  </si>
  <si>
    <t>Title</t>
  </si>
  <si>
    <t>Date Commitments Rec'd</t>
  </si>
  <si>
    <t># of Days after PSA</t>
  </si>
  <si>
    <t>Date</t>
  </si>
  <si>
    <t>Amount</t>
  </si>
  <si>
    <t># of Days after DD</t>
  </si>
  <si>
    <t>Marina</t>
  </si>
  <si>
    <t>Fee Simple; Leased</t>
  </si>
  <si>
    <t>Attorney - Jessica Parker</t>
  </si>
  <si>
    <t>Buyer</t>
  </si>
  <si>
    <t>UES</t>
  </si>
  <si>
    <t>Wilkins-Noble</t>
  </si>
  <si>
    <t>First American</t>
  </si>
  <si>
    <t>Bank</t>
  </si>
  <si>
    <t>F3 Marina Fort Lauderdale</t>
  </si>
  <si>
    <t>Attorney - Jessica Parker; First LOI submitted 6/9/25, signed 6/19/25</t>
  </si>
  <si>
    <t>Seller</t>
  </si>
  <si>
    <t>Avirom</t>
  </si>
  <si>
    <t>Synovus</t>
  </si>
  <si>
    <t>St. Thomas Portfolio (2-Prop)</t>
  </si>
  <si>
    <t>Attorneys - Jessica; Dudley (Dudley Newman Feuerzeig); Two submerged land leases that auto-renew; located in hurricane hole; catamarans; storage-centric; exclusivity until 10/13/25</t>
  </si>
  <si>
    <t>PR&amp;A</t>
  </si>
  <si>
    <t>BM&amp;A</t>
  </si>
  <si>
    <t>Under Contract Subtotal</t>
  </si>
  <si>
    <t>= # with Financials Received</t>
  </si>
  <si>
    <t>= 2026 Deals</t>
  </si>
  <si>
    <t>Moving to Contract</t>
  </si>
  <si>
    <t>Finalizing underwriting</t>
  </si>
  <si>
    <t>Paradise Island</t>
  </si>
  <si>
    <t>Open to varioius structures, including JV for just a portion of the deal - now with CBRE off-market</t>
  </si>
  <si>
    <t>Under LOI Subtotal</t>
  </si>
  <si>
    <t>Port Tarpon Marina</t>
  </si>
  <si>
    <t>Tarpon Springs</t>
  </si>
  <si>
    <t>Ready to Re-Submit</t>
  </si>
  <si>
    <t>Marina; Development</t>
  </si>
  <si>
    <t>Anclote Harbors Marina</t>
  </si>
  <si>
    <t>Legacy Harbour Marina</t>
  </si>
  <si>
    <t>Marina; Expansion</t>
  </si>
  <si>
    <t xml:space="preserve">In a $13M contract with Bellingham to redevelop; uplands can be sold separately; Phase II will allow for 37 more slips; </t>
  </si>
  <si>
    <t>Keystone Point Marina</t>
  </si>
  <si>
    <t>Sunset Harbor Village</t>
  </si>
  <si>
    <t>Submitted/To Be Submitted Subtotal</t>
  </si>
  <si>
    <t>Tom tells me $900k NOI; three houses all two-family; low rates, 4 upland tenants</t>
  </si>
  <si>
    <t>Cozy Cove Marina</t>
  </si>
  <si>
    <t>Loggerhead Portfolio</t>
  </si>
  <si>
    <t>Florida</t>
  </si>
  <si>
    <t>Waiting to Engage</t>
  </si>
  <si>
    <t>Sulphur Creek Resort</t>
  </si>
  <si>
    <t>Burkesville</t>
  </si>
  <si>
    <t>KY</t>
  </si>
  <si>
    <t>Leased</t>
  </si>
  <si>
    <t>Lighthouse Point Marina</t>
  </si>
  <si>
    <t>Baltimore</t>
  </si>
  <si>
    <t>Analyzing Subtotal</t>
  </si>
  <si>
    <t>Shiloh Marina</t>
  </si>
  <si>
    <t>Greers Ferry</t>
  </si>
  <si>
    <t>USACOE Lease</t>
  </si>
  <si>
    <t>Twin Creeks Marina</t>
  </si>
  <si>
    <t>Winchester</t>
  </si>
  <si>
    <t>Marina; RV</t>
  </si>
  <si>
    <t>Homeport Marina</t>
  </si>
  <si>
    <t>Gulf Shores</t>
  </si>
  <si>
    <t>AL</t>
  </si>
  <si>
    <t>Commodore Bay Marina</t>
  </si>
  <si>
    <t>Avalon</t>
  </si>
  <si>
    <t>Does not include Boat Club business - just slip revenue from boat club boats</t>
  </si>
  <si>
    <t>Wants a 5% cap</t>
  </si>
  <si>
    <t>Yse</t>
  </si>
  <si>
    <t>CFO 4/8/25</t>
  </si>
  <si>
    <t>Scorpion Bay Marina</t>
  </si>
  <si>
    <t>Peoria</t>
  </si>
  <si>
    <t>Better location than Bartlett Lake; right outside Phoenix; majority storage rev; need more detail; price expectations likely inflated.</t>
  </si>
  <si>
    <t>Island Cove Marina</t>
  </si>
  <si>
    <t>Melbourne Marina Development</t>
  </si>
  <si>
    <t>Melbourne</t>
  </si>
  <si>
    <t>221 slips; East coast; seller would develop uplands; holding off until they break ground and make progress</t>
  </si>
  <si>
    <t>Port Dania - Development Opportunity</t>
  </si>
  <si>
    <t>Grand Bahama Yacht Club</t>
  </si>
  <si>
    <t>MacDonald's Resort</t>
  </si>
  <si>
    <t>Bayview</t>
  </si>
  <si>
    <t>ID</t>
  </si>
  <si>
    <t>Just north of HLM on Lake Pend Oreille; 10 cabins; fuel dock; a lot more to uncover here.</t>
  </si>
  <si>
    <t>Annapolis Landing Marina</t>
  </si>
  <si>
    <t>Tavernier</t>
  </si>
  <si>
    <t>Opportunity to reconfigure dry racks, if not redevelop for indoor dry storage - rare in the Keys; 35' height restriction; convert 15 HB slips to normal wet slips or lift slips.</t>
  </si>
  <si>
    <t>Sands Harbor Resort &amp; Marina</t>
  </si>
  <si>
    <t>Seller expecting $24.5m; tight at $20m</t>
  </si>
  <si>
    <t>Denali RV Resort &amp; Marina</t>
  </si>
  <si>
    <t>Liberty Marina (&amp; Development)</t>
  </si>
  <si>
    <t>Development of 199-room hotel; potential dry racks and wet slip expansion; 3 restaurants; 13 condos</t>
  </si>
  <si>
    <t>Restaurant not in-place; rental boats not in-place; potential earnout on 60 outdoor racks that seller is planning.</t>
  </si>
  <si>
    <t>Stock Island Barn 2</t>
  </si>
  <si>
    <t>Key West</t>
  </si>
  <si>
    <t>Revisiting</t>
  </si>
  <si>
    <t>Calais Marina Development</t>
  </si>
  <si>
    <t>Daniel Island</t>
  </si>
  <si>
    <t>Need Pricing Guidance</t>
  </si>
  <si>
    <t>225-rack development; TBD on slips; upland builder identified; seller will need to be open to bifurcating land. Exact location TBD.</t>
  </si>
  <si>
    <t>Long-Term Subtotal</t>
  </si>
  <si>
    <t>Passed</t>
  </si>
  <si>
    <t>NOI low; remote location; First-class facility in Alexandria Bay - big yachts, very simple operation of wet slips; attracts Great Loopers and wealthy customers from Jupiter, Naples and other parts of the country; small deal though, around $600k NOI</t>
  </si>
  <si>
    <t>Listed at $12,000,000 - next door to Lynn Brother's</t>
  </si>
  <si>
    <t>Listed at $6,995,000 - dry rack dev opportunity and/or RV park</t>
  </si>
  <si>
    <t>Hit by hurricane in 2018, tornado early 2024, lease-up an issue and area has yet to prove out demand. Pricing also under seller expectations, before considering CapEx needs to repair tornado damage. Seller wants $60m</t>
  </si>
  <si>
    <t xml:space="preserve">Guidance of $8.8m, plus another ~$2m for 2 acres next door to build more racks; 80% full because they do not use the top row of the barn; Tornado wiped Pirate's Cove and Treasure Island on beach side; </t>
  </si>
  <si>
    <t>Bradenton</t>
  </si>
  <si>
    <t>Early on this deal; slips continue to be upgraded; demand with new slips and higher rates still to be proven; promising outlook as the best marina to serve the great Baton Rouge area.</t>
  </si>
  <si>
    <t>Easy operation of just wet slips; NOI is light - no real upside other than restructuring leases, rate</t>
  </si>
  <si>
    <t>Strong current makes slips a challenge; price not aligned with seller</t>
  </si>
  <si>
    <t>Smith Boys Marine</t>
  </si>
  <si>
    <t>Tonawanda</t>
  </si>
  <si>
    <t xml:space="preserve">Fee Simple; AMREN </t>
  </si>
  <si>
    <t>Fee Simple;Leased</t>
  </si>
  <si>
    <t>Tamarind Reef Resort &amp; Marina</t>
  </si>
  <si>
    <t>St. Johns</t>
  </si>
  <si>
    <t>Sundance Marinas Portfolio</t>
  </si>
  <si>
    <t>Fee Simple/Leased</t>
  </si>
  <si>
    <t>Portland; not ideal revenue mix; Blaine location has potential with 500-rack development</t>
  </si>
  <si>
    <t>Sweetbay Marina</t>
  </si>
  <si>
    <t>Dev deal in PCB; big bet</t>
  </si>
  <si>
    <t>46 years left on lease; 88% occ in season; 60% in off-season; $1.5m bottom line; low rates; not ideal market; about 1 hr. less travel time compared to time out to EB.</t>
  </si>
  <si>
    <t>300+ slips; 2025 EBITDA projected to be $1m. Originally looked at this in 2024 for $10m, now it's $10.3m and brought by a different broker.</t>
  </si>
  <si>
    <t>Boats by George</t>
  </si>
  <si>
    <t>Multiple Locations</t>
  </si>
  <si>
    <t>12+</t>
  </si>
  <si>
    <t>Huge dealership arm with 2 marinas; smaller boats; older facilities</t>
  </si>
  <si>
    <t>Oasis Boatyard &amp; Marina</t>
  </si>
  <si>
    <t>Small deal; primarily boatyard; inability to build racks - but footprint small anyways</t>
  </si>
  <si>
    <t>Restaurant operated by seller; willing to lease it back; Small deal; majority of revenue from fuel and restaurant lease; would be more interesting with more wet slips (31).</t>
  </si>
  <si>
    <t>Hope Springs Marina</t>
  </si>
  <si>
    <t>Stafford</t>
  </si>
  <si>
    <t>Smaller price point; No real immediate competition; facilities in excellent condition; upside on rate, land storage, rest. Tenant; UW to determine fit.</t>
  </si>
  <si>
    <t>Rock Harbor Marina</t>
  </si>
  <si>
    <t>Nashville</t>
  </si>
  <si>
    <t>Too small for us; Owner keeping uplands; no ACOE lease; potential expansion; smaller deal with just marina; 10-15 min. outside Nashville on river; 70-80 slip expansion (100% occ with wait list)</t>
  </si>
  <si>
    <t>Lost Peninsula Marina</t>
  </si>
  <si>
    <t>Toledo</t>
  </si>
  <si>
    <t>Low rate - combination of poor management and some work needed; worth seeing if we can turn this into a $20m+ marina if the market is there.</t>
  </si>
  <si>
    <t>Project Swordfish</t>
  </si>
  <si>
    <t>Hamptons</t>
  </si>
  <si>
    <t>3/4 marinas are pretty small; 45% storage revenue; lease-up at each location</t>
  </si>
  <si>
    <t>Riverview Marina</t>
  </si>
  <si>
    <t>Riverview</t>
  </si>
  <si>
    <t>Grove Point getting out of FL; interested in offloading this one. 60% full...lease-up deal; outside Tampa but not ideal area</t>
  </si>
  <si>
    <t>Great Bay Marine</t>
  </si>
  <si>
    <t>Newington</t>
  </si>
  <si>
    <t>NH</t>
  </si>
  <si>
    <t>31 acres; lots of storage; below-market rates; equal storage-service rev; avg. 26' boat; inferior location to SH</t>
  </si>
  <si>
    <t>Pacific Coast Marina</t>
  </si>
  <si>
    <t>Marina is 100% full; just acquired a 50-year lease; location TBD; 30 slips today, cap of 101 approved; 12' depth; up to 80'; seller will leaseback boatyard and F&amp;B on NNN basis.</t>
  </si>
  <si>
    <t>Cypress Cove Marina &amp; Lodge</t>
  </si>
  <si>
    <t>Venice</t>
  </si>
  <si>
    <t>2024 Gross of $7.43M; Adj. NOI of $1.3M; 48 room lodge on site</t>
  </si>
  <si>
    <t>Al Grover's High &amp; Dry Marina</t>
  </si>
  <si>
    <t>Freeport</t>
  </si>
  <si>
    <t>$14m gross; $2m in EBITDA - big boat sales component</t>
  </si>
  <si>
    <t>Kinship Marina</t>
  </si>
  <si>
    <t>Ventura</t>
  </si>
  <si>
    <t xml:space="preserve">Smaller deal, but value-add by taking 30 slips to 101 (potentially 120); on a 50-year lease with Port; multiple commercial tenants; boatyard can be acquired under sale-leaseback; confirming approvals in place and competitiveness with a buyout vs the JV. </t>
  </si>
  <si>
    <t>Madeira Beach - Development</t>
  </si>
  <si>
    <t>Opportunity for the whole site ($28m) or just the marina section (price TBD)</t>
  </si>
  <si>
    <t>Sunday's on the Bay</t>
  </si>
  <si>
    <t>Hampton Bays</t>
  </si>
  <si>
    <t>Nice facility, small marina; 62% F&amp;B; would need to sharpen pencil on expenses to reach true NOI</t>
  </si>
  <si>
    <t>Yacht Haven RV Park &amp; Marina</t>
  </si>
  <si>
    <t>Fortress wanted $60m; KSL was at $40m last year - I got to $30m; now reviewing deal with Bear Advisors/Cyburt Holdings; not a fit for us as it goes for a shipyard development</t>
  </si>
  <si>
    <t>Winter Harbor Marina</t>
  </si>
  <si>
    <t>Brewerton</t>
  </si>
  <si>
    <t>On Oneida Lake/river; smaller property - not a fit for us</t>
  </si>
  <si>
    <t>Lake Waco Marina</t>
  </si>
  <si>
    <t>Waco</t>
  </si>
  <si>
    <t>New 25-year lease; opp. to build another 200 slips; only one other marina on the lake (owned by CC).</t>
  </si>
  <si>
    <t>Hingham Shipyard Marina</t>
  </si>
  <si>
    <t>Boston</t>
  </si>
  <si>
    <t>95-100%</t>
  </si>
  <si>
    <t>Kingston</t>
  </si>
  <si>
    <t>196 slips; cabins, RVs, ship store, restaurant (NNN), pavilion; lease through 2036 w/ one 25-year extension;  expansion opportunity</t>
  </si>
  <si>
    <t>Gwynn's Island</t>
  </si>
  <si>
    <t>Hudgins</t>
  </si>
  <si>
    <t>Sundance Marine</t>
  </si>
  <si>
    <t>Jensen Beach</t>
  </si>
  <si>
    <t>Contract Cancelled</t>
  </si>
  <si>
    <t>Vertex?</t>
  </si>
  <si>
    <t>Northstar Geomatics</t>
  </si>
  <si>
    <t>North Tahoe Marina</t>
  </si>
  <si>
    <t>Tahoe Vista</t>
  </si>
  <si>
    <t>65 dry racks; 17 wet slips; 48 moorings; 257 winter storage spaces (Carson City, NV) - leased lot.</t>
  </si>
  <si>
    <t>Teach's Lair Marina</t>
  </si>
  <si>
    <t>Hatteras</t>
  </si>
  <si>
    <t>Smaller property; only fuel on the island; heavy transient business; rental income</t>
  </si>
  <si>
    <t>Homer Smith Docks &amp; Marina</t>
  </si>
  <si>
    <t>Lift slip marina; 185 total slips, but 105 owned and leasable by marina (18 transient, the rest third-party owned); too small</t>
  </si>
  <si>
    <t>Alameda Marina</t>
  </si>
  <si>
    <t>San Francisco</t>
  </si>
  <si>
    <t>$250k NOI; $600k+ Lease from Ghost Town Brewery gives the deal NOI - too risky.</t>
  </si>
  <si>
    <t>Norris Lake Portfolio (3-Prop)</t>
  </si>
  <si>
    <t>Norris Lake</t>
  </si>
  <si>
    <t>Could add to Sequoyah and other Norris Lake portfolio</t>
  </si>
  <si>
    <t>Pates Ford Resort &amp; Marina</t>
  </si>
  <si>
    <t>Smithville</t>
  </si>
  <si>
    <t>Belle Harbour Marina</t>
  </si>
  <si>
    <t>Adelaide Point Marina</t>
  </si>
  <si>
    <t>Muskegon</t>
  </si>
  <si>
    <t>Competing with SHM ($50-55M) and Suntex ($45M and revising) - both groups backed off of those numbers</t>
  </si>
  <si>
    <t>Port Harbor Marine</t>
  </si>
  <si>
    <t>6 locations, many are smaller and upland storage only; one primary location; big boat sales arm.</t>
  </si>
  <si>
    <t>Seattle Yacht Club</t>
  </si>
  <si>
    <t>Non-profit; membership club - difficult deal to "acquire" and to legally turn a profit.</t>
  </si>
  <si>
    <t>BananaBelt Boats and Yachts</t>
  </si>
  <si>
    <t>Anacortes</t>
  </si>
  <si>
    <t>Norris Lake Portfolio (2-Prop)</t>
  </si>
  <si>
    <t>Mountain Lake Marina; Twin Cove Marina</t>
  </si>
  <si>
    <t>Grants Landing Marina</t>
  </si>
  <si>
    <t>Jupiter</t>
  </si>
  <si>
    <t>19 lift slips (approved for 22) on existing site; approved for 12 more; wait list; $2,500/mo.; racks not being used; no forklift.</t>
  </si>
  <si>
    <t>Kent Narrows Boatel</t>
  </si>
  <si>
    <t>Chester</t>
  </si>
  <si>
    <t>Selected Another Buyer</t>
  </si>
  <si>
    <t>Went with 1 of 3 offers around $40m; negotiated in LOI to do a long term agreement with WRM at a higher discount (north of 10%) than current for WS.</t>
  </si>
  <si>
    <t>Dry Dock at Pelican Harbor</t>
  </si>
  <si>
    <t>Cedar Mills Marina</t>
  </si>
  <si>
    <t>Sherwood Shores</t>
  </si>
  <si>
    <t>Lee's Ford Marina</t>
  </si>
  <si>
    <t>Trimble</t>
  </si>
  <si>
    <t xml:space="preserve">Hoosier Hills Marina </t>
  </si>
  <si>
    <t>Celestine</t>
  </si>
  <si>
    <t>Constitution Marina</t>
  </si>
  <si>
    <t>Liveaboards; docks need some work.</t>
  </si>
  <si>
    <t>Humbug Marina</t>
  </si>
  <si>
    <t>Gibraltar</t>
  </si>
  <si>
    <t>Point Lookout Marina</t>
  </si>
  <si>
    <t>Ridge</t>
  </si>
  <si>
    <t>Bo's at Indian River Marina</t>
  </si>
  <si>
    <t>Kamp Kennedy Marina</t>
  </si>
  <si>
    <t>Lancaster</t>
  </si>
  <si>
    <t>Too small; inland lake; $1.4M top line</t>
  </si>
  <si>
    <t>Grand Mariner Marina</t>
  </si>
  <si>
    <t>Mobile</t>
  </si>
  <si>
    <t>Too small; 7 RV sites; $1.5M top line ($750k NOI)</t>
  </si>
  <si>
    <t>Snug Harbor Marina</t>
  </si>
  <si>
    <t>St. Petersburg</t>
  </si>
  <si>
    <t>Bayview Harbor</t>
  </si>
  <si>
    <t>Barnegat Light</t>
  </si>
  <si>
    <t>Returns factor in 25-slip expansion; ignores upload dev potential</t>
  </si>
  <si>
    <t>North Causeway Marina</t>
  </si>
  <si>
    <t>New Smyrna Beach</t>
  </si>
  <si>
    <t>Tarpon Landing Marina</t>
  </si>
  <si>
    <t>Restaurant in-house generating $4M</t>
  </si>
  <si>
    <t>Attorneys - Jennifer Stacchini, Dave Curry, Bob Creighton</t>
  </si>
  <si>
    <t>On File</t>
  </si>
  <si>
    <t>Eastport</t>
  </si>
  <si>
    <t>Seller holding - CF too good, cold feet; Seller sticking to $12m; countering at $11.75m. Seller wants 8% rate; likely going bank debt; structured a counter to the counter at $11.25m, with condition to close at $12m if seller leases 10 slips on annual contracts by Closing.</t>
  </si>
  <si>
    <t>HAVN Yacht Club</t>
  </si>
  <si>
    <t>West Palm Beach</t>
  </si>
  <si>
    <t>Hinckley</t>
  </si>
  <si>
    <t>Shelter Bay Marine</t>
  </si>
  <si>
    <t>$800k NOI; run absentee; 63% of EBITDA from engine/part sales..MarineMax bought</t>
  </si>
  <si>
    <t>Marina Village Yacht Harbor</t>
  </si>
  <si>
    <t>Safe Harbor</t>
  </si>
  <si>
    <t>Prairie Creek Marina</t>
  </si>
  <si>
    <t>Rogers</t>
  </si>
  <si>
    <t>Allied Strategic Partners</t>
  </si>
  <si>
    <t>Hudson Marina</t>
  </si>
  <si>
    <t>Orange Beach</t>
  </si>
  <si>
    <t>Opportunities Reviewed Subtotal</t>
  </si>
  <si>
    <t>Confidential Information - Do Not Distribute</t>
  </si>
  <si>
    <t>2026 Totals</t>
  </si>
  <si>
    <t>Total Deal Flow</t>
  </si>
  <si>
    <t>Deals Under $10M &amp; Less</t>
  </si>
  <si>
    <t>Submitted LOIs</t>
  </si>
  <si>
    <t>Deals $15M &amp; Less</t>
  </si>
  <si>
    <t>Deals $20M &amp; Less</t>
  </si>
  <si>
    <t>Deals Over $20M</t>
  </si>
  <si>
    <t>Passed/Lost</t>
  </si>
  <si>
    <t>F3 Marina</t>
  </si>
  <si>
    <t>Sundance Marina</t>
  </si>
  <si>
    <t>DD List Due to Seller</t>
  </si>
  <si>
    <t>1st Deposit Due</t>
  </si>
  <si>
    <t>1st Deposit ($)</t>
  </si>
  <si>
    <t>PCR</t>
  </si>
  <si>
    <t>2nd Deposit Due</t>
  </si>
  <si>
    <t>2nd Deposit ($)</t>
  </si>
  <si>
    <t>Northeast</t>
  </si>
  <si>
    <t>Alabama</t>
  </si>
  <si>
    <t>Alaska</t>
  </si>
  <si>
    <t>AK</t>
  </si>
  <si>
    <t>Midwest</t>
  </si>
  <si>
    <t>Arizona</t>
  </si>
  <si>
    <t>South</t>
  </si>
  <si>
    <t>Arkansas</t>
  </si>
  <si>
    <t>RI</t>
  </si>
  <si>
    <t>Mid-Atlantic</t>
  </si>
  <si>
    <t>California</t>
  </si>
  <si>
    <t>VT</t>
  </si>
  <si>
    <t>West</t>
  </si>
  <si>
    <t>Colorado</t>
  </si>
  <si>
    <t>CO</t>
  </si>
  <si>
    <t>Connecticut</t>
  </si>
  <si>
    <t>Delaware</t>
  </si>
  <si>
    <t>Georgia</t>
  </si>
  <si>
    <t>Hawaii</t>
  </si>
  <si>
    <t>HI</t>
  </si>
  <si>
    <t>Idaho</t>
  </si>
  <si>
    <t>Illinois</t>
  </si>
  <si>
    <t>WI</t>
  </si>
  <si>
    <t>Indiana</t>
  </si>
  <si>
    <t>IA</t>
  </si>
  <si>
    <t>Iowa</t>
  </si>
  <si>
    <t>KS</t>
  </si>
  <si>
    <t>Kansas</t>
  </si>
  <si>
    <t>MN</t>
  </si>
  <si>
    <t>Kentucky</t>
  </si>
  <si>
    <t>Louisiana</t>
  </si>
  <si>
    <t>Maine</t>
  </si>
  <si>
    <t>ND</t>
  </si>
  <si>
    <t>SD</t>
  </si>
  <si>
    <t>Massachusetts</t>
  </si>
  <si>
    <t>Michigan</t>
  </si>
  <si>
    <t>DC</t>
  </si>
  <si>
    <t>Minnesota</t>
  </si>
  <si>
    <t>Mississippi</t>
  </si>
  <si>
    <t>MS</t>
  </si>
  <si>
    <t>Missouri</t>
  </si>
  <si>
    <t>Montana</t>
  </si>
  <si>
    <t>MT</t>
  </si>
  <si>
    <t>Nebraska</t>
  </si>
  <si>
    <t>Nevada</t>
  </si>
  <si>
    <t>NV</t>
  </si>
  <si>
    <t>New Hampshire</t>
  </si>
  <si>
    <t>WV</t>
  </si>
  <si>
    <t>New Jersey</t>
  </si>
  <si>
    <t>New Mexico</t>
  </si>
  <si>
    <t>NM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</si>
  <si>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</si>
  <si>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</si>
  <si>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</si>
  <si>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</si>
  <si>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</si>
  <si>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</si>
  <si>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</si>
  <si>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</si>
  <si>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</si>
  <si>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</si>
  <si>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</si>
  <si>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Utah</t>
  </si>
  <si>
    <t>UT</t>
  </si>
  <si>
    <t>Vermont</t>
  </si>
  <si>
    <t>WY</t>
  </si>
  <si>
    <t>Virginia</t>
  </si>
  <si>
    <t>Washington</t>
  </si>
  <si>
    <t>West Virginia</t>
  </si>
  <si>
    <t>HA</t>
  </si>
  <si>
    <t>Wisconsin</t>
  </si>
  <si>
    <t>Wyoming</t>
  </si>
  <si>
    <t>M&amp;A Deal Sheet</t>
  </si>
  <si>
    <t>2025 YTD</t>
  </si>
  <si>
    <t>Passed On/Lost</t>
  </si>
  <si>
    <t>Gross IRR</t>
  </si>
  <si>
    <t>Deposit Dates</t>
  </si>
  <si>
    <t>3rd Party Reports</t>
  </si>
  <si>
    <t>Debt</t>
  </si>
  <si>
    <t>LOI to be Submitted</t>
  </si>
  <si>
    <t>Restaurant lease recently signed; potential disconnect on price if seller does not get real with boat rentals; Quality Boats is renewing their lease at a higher rate per seller.</t>
  </si>
  <si>
    <t>Updating</t>
  </si>
  <si>
    <t>Madeira Beaach</t>
  </si>
  <si>
    <t>Lost out; might be opportunity to revisit.</t>
  </si>
  <si>
    <t>Oakdale &amp; GC are more attractive (capacity, layout of site, surrounding area).</t>
  </si>
  <si>
    <t>Would pair with other Annapolis deals</t>
  </si>
  <si>
    <t>Hotel would trade with the marina.</t>
  </si>
  <si>
    <t>Small price point, but ownership is working to add a restaurant operator vs. in-house, raise rates, etc.</t>
  </si>
  <si>
    <t>Cottonwood Cove Marina</t>
  </si>
  <si>
    <t>Waiting on Info</t>
  </si>
  <si>
    <t>Deals Passed/Lost</t>
  </si>
  <si>
    <t>First-class facility in Alexandria Bay - big yachts, very simple operation of wet slips; attracts Great Loopers and wealthy customers from Jupiter, Naples and other parts of the country; small deal though, around $600k NOI</t>
  </si>
  <si>
    <t>Restaurant operated by seller; willing to lease it back.</t>
  </si>
  <si>
    <t>No</t>
  </si>
  <si>
    <t>Lynn Brother's Marina</t>
  </si>
  <si>
    <t>Rivertowne Marina &amp; Tucker's Landing RV Park</t>
  </si>
  <si>
    <t>Low occupancy in racks; large capacity; full RV park</t>
  </si>
  <si>
    <t>Heavy service and parts sales;</t>
  </si>
  <si>
    <t>Going-in at $8.5m was a 5.5% cap; not strong enough market; they listed at $13.25m…</t>
  </si>
  <si>
    <t>Located on smaller lake outside Fresno; lots of storage but small deal</t>
  </si>
  <si>
    <t>Low NOI and price point - not ideal locatoin</t>
  </si>
  <si>
    <t>Needed cap-ex; 80-85% occupancy; nice storage and lease income but limited upside</t>
  </si>
  <si>
    <t>Poor market demos; bad revenue mix with only 21% from storage</t>
  </si>
  <si>
    <t>200 slips, no amenities; limited upside, about $450k NOI</t>
  </si>
  <si>
    <t xml:space="preserve">Packaged deal with Thamesport; total package is about $6M investment; lots of cap-ex needed for expansion; </t>
  </si>
  <si>
    <t>Small price point at $7m, additional land for winter storage could be included for $2m; marina is amenity for the deveopment (33% sold out; 309 owners at completion); about 35 of the 110 completed homes have boats in the marina.</t>
  </si>
  <si>
    <t>Development Deal</t>
  </si>
  <si>
    <t>Seller expectations too high; high cost basis; JV putting heavy weight on future valuation.</t>
  </si>
  <si>
    <t>Development deal for dry racks - better for us to invest in All Seasons than go down the route at Somers Point location.</t>
  </si>
  <si>
    <t>Tough location; limited boat size due to bridge</t>
  </si>
  <si>
    <t>City selling the marina; redevelopment play; other interesting opportunities in this area for less lift</t>
  </si>
  <si>
    <t>Smaller deal; limited upside</t>
  </si>
  <si>
    <t>Brand new; not proven; financials hurting from state lease - would need to be restructured; brought in Oasis to manage</t>
  </si>
  <si>
    <t>Smaller deal; land layout is not ideal for dry stack development</t>
  </si>
  <si>
    <t>Pirate's Cove &amp; Lighouse</t>
  </si>
  <si>
    <t>Hit by hurricane in 2018, tornado early 2024, lease-up an issue and area has yet to prove out demand. Pricing also under seller expectations, before considering CapEx needs to repair tornado damage.</t>
  </si>
  <si>
    <t>Lease-up deal, light NOI</t>
  </si>
  <si>
    <t>Small deal, needs dredging, not for us.</t>
  </si>
  <si>
    <t>Small deal, light NOI</t>
  </si>
  <si>
    <t>Fully occupied dry stack with ability to expand (and wait list); uncovered wet slips have vacancy; in Texas</t>
  </si>
  <si>
    <t>Passed/Lost Subtotal</t>
  </si>
  <si>
    <t>Wells Fargo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</si>
</sst>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&quot;$&quot;#,##0;\-&quot;$&quot;#,##0"/>
    <numFmt numFmtId="166" formatCode="0.0"/>
    <numFmt numFmtId="167" formatCode="0.0%"/>
    <numFmt numFmtId="168" formatCode="&quot;$&quot;#,##0.00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8"/>
      <color rgb="FF000000"/>
      <name val="Calibri"/>
      <family val="2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56585B"/>
      <name val="Calibri"/>
      <family val="2"/>
    </font>
    <font>
      <i/>
      <sz val="12"/>
      <color rgb="FF56585B"/>
      <name val="Calibri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Aptos"/>
      <family val="2"/>
    </font>
    <font>
      <sz val="12"/>
      <color theme="1"/>
      <name val="Aptos"/>
      <family val="2"/>
    </font>
    <font>
      <sz val="12"/>
      <color rgb="FF56585B"/>
      <name val="Aptos"/>
      <family val="2"/>
    </font>
    <font>
      <b/>
      <sz val="12"/>
      <name val="Aptos"/>
      <family val="2"/>
    </font>
    <font>
      <b/>
      <sz val="12"/>
      <color theme="0"/>
      <name val="Aptos"/>
      <family val="2"/>
    </font>
    <font>
      <sz val="12"/>
      <color rgb="FF000000"/>
      <name val="Aptos"/>
      <family val="2"/>
    </font>
    <font>
      <i/>
      <sz val="12"/>
      <color theme="1"/>
      <name val="Aptos"/>
      <family val="2"/>
    </font>
    <font>
      <i/>
      <sz val="12"/>
      <color indexed="8"/>
      <name val="Aptos"/>
      <family val="2"/>
    </font>
    <font>
      <b/>
      <sz val="12"/>
      <color rgb="FF000000"/>
      <name val="Aptos"/>
      <family val="2"/>
    </font>
    <font>
      <b/>
      <sz val="12"/>
      <color rgb="FF56585B"/>
      <name val="Aptos"/>
      <family val="2"/>
    </font>
    <font>
      <sz val="12"/>
      <color rgb="FFFF0000"/>
      <name val="Aptos"/>
      <family val="2"/>
    </font>
    <font>
      <i/>
      <sz val="12"/>
      <color rgb="FF56585B"/>
      <name val="Aptos"/>
      <family val="2"/>
    </font>
    <font>
      <b/>
      <i/>
      <sz val="12"/>
      <color theme="1"/>
      <name val="Aptos"/>
      <family val="2"/>
    </font>
    <font>
      <b/>
      <sz val="12"/>
      <color theme="1"/>
      <name val="Aptos"/>
      <family val="2"/>
    </font>
    <font>
      <b/>
      <i/>
      <sz val="12"/>
      <name val="Aptos"/>
      <family val="2"/>
    </font>
    <font>
      <i/>
      <sz val="12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9E8E5"/>
      </patternFill>
    </fill>
    <fill>
      <patternFill patternType="solid">
        <fgColor rgb="FF142E5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000000"/>
      </top>
      <bottom style="double">
        <color rgb="FF000000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double">
        <color rgb="FFD5D3D1"/>
      </top>
      <bottom style="thin">
        <color rgb="FFD5D3D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D5D3D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rgb="FFD5D3D1"/>
      </left>
      <right style="thin">
        <color indexed="64"/>
      </right>
      <top style="thin">
        <color theme="0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/>
      <right style="thin">
        <color rgb="FFD5D3D1"/>
      </right>
      <top style="double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indexed="64"/>
      </right>
      <top/>
      <bottom style="thin">
        <color rgb="FFD5D3D1"/>
      </bottom>
      <diagonal/>
    </border>
    <border>
      <left style="thin">
        <color rgb="FFD5D3D1"/>
      </left>
      <right style="thin">
        <color indexed="64"/>
      </right>
      <top style="double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indexed="64"/>
      </right>
      <top style="thin">
        <color rgb="FFD5D3D1"/>
      </top>
      <bottom style="thin">
        <color rgb="FFD5D3D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D5D3D1"/>
      </bottom>
      <diagonal/>
    </border>
    <border>
      <left style="thin">
        <color rgb="FF000000"/>
      </left>
      <right style="thin">
        <color rgb="FF000000"/>
      </right>
      <top/>
      <bottom style="thin">
        <color rgb="FFD5D3D1"/>
      </bottom>
      <diagonal/>
    </border>
    <border>
      <left style="thin">
        <color rgb="FFD5D3D1"/>
      </left>
      <right style="thin">
        <color rgb="FF000000"/>
      </right>
      <top/>
      <bottom style="thin">
        <color rgb="FFD5D3D1"/>
      </bottom>
      <diagonal/>
    </border>
    <border>
      <left style="thin">
        <color rgb="FFD5D3D1"/>
      </left>
      <right style="thin">
        <color rgb="FF000000"/>
      </right>
      <top style="thin">
        <color rgb="FFD5D3D1"/>
      </top>
      <bottom style="thin">
        <color rgb="FFD5D3D1"/>
      </bottom>
      <diagonal/>
    </border>
    <border>
      <left/>
      <right style="thin">
        <color rgb="FF000000"/>
      </right>
      <top/>
      <bottom style="thin">
        <color rgb="FFD5D3D1"/>
      </bottom>
      <diagonal/>
    </border>
    <border>
      <left/>
      <right style="thin">
        <color rgb="FF000000"/>
      </right>
      <top style="double">
        <color rgb="FFD5D3D1"/>
      </top>
      <bottom style="thin">
        <color rgb="FFD5D3D1"/>
      </bottom>
      <diagonal/>
    </border>
    <border>
      <left/>
      <right style="thin">
        <color rgb="FF000000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000000"/>
      </right>
      <top style="double">
        <color rgb="FFD5D3D1"/>
      </top>
      <bottom style="thin">
        <color rgb="FFD5D3D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rgb="FFD5D3D1"/>
      </right>
      <top/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theme="2" tint="-9.9978637043366805E-2"/>
      </left>
      <right style="thin">
        <color rgb="FFD5D3D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D5D3D1"/>
      </left>
      <right style="thin">
        <color rgb="FFD5D3D1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rgb="FFD5D3D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rgb="FFD5D3D1"/>
      </bottom>
      <diagonal/>
    </border>
    <border>
      <left style="thin">
        <color theme="2" tint="-9.9978637043366805E-2"/>
      </left>
      <right style="thin">
        <color rgb="FFD5D3D1"/>
      </right>
      <top style="thin">
        <color theme="2" tint="-9.9978637043366805E-2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theme="2" tint="-9.9978637043366805E-2"/>
      </top>
      <bottom style="thin">
        <color rgb="FFD5D3D1"/>
      </bottom>
      <diagonal/>
    </border>
    <border>
      <left style="thin">
        <color rgb="FFD5D3D1"/>
      </left>
      <right style="thin">
        <color theme="2" tint="-9.9978637043366805E-2"/>
      </right>
      <top style="thin">
        <color theme="2" tint="-9.9978637043366805E-2"/>
      </top>
      <bottom style="thin">
        <color rgb="FFD5D3D1"/>
      </bottom>
      <diagonal/>
    </border>
    <border>
      <left style="thin">
        <color theme="2" tint="-9.9978637043366805E-2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theme="2" tint="-9.9978637043366805E-2"/>
      </right>
      <top/>
      <bottom style="thin">
        <color rgb="FFD5D3D1"/>
      </bottom>
      <diagonal/>
    </border>
    <border>
      <left style="thin">
        <color theme="2" tint="-9.9978637043366805E-2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rgb="FFD5D3D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rgb="FFD5D3D1"/>
      </left>
      <right/>
      <top/>
      <bottom/>
      <diagonal/>
    </border>
    <border>
      <left style="thin">
        <color theme="2" tint="-9.9978637043366805E-2"/>
      </left>
      <right style="thin">
        <color rgb="FFD5D3D1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rgb="FFD5D3D1"/>
      </left>
      <right/>
      <top style="thin">
        <color theme="2" tint="-9.9978637043366805E-2"/>
      </top>
      <bottom style="thin">
        <color rgb="FFD5D3D1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rgb="FFD5D3D1"/>
      </left>
      <right/>
      <top/>
      <bottom style="thin">
        <color theme="2" tint="-9.9978637043366805E-2"/>
      </bottom>
      <diagonal/>
    </border>
    <border>
      <left style="thin">
        <color rgb="FF00000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D5D3D1"/>
      </right>
      <top/>
      <bottom style="thin">
        <color rgb="FFD5D3D1"/>
      </bottom>
      <diagonal/>
    </border>
    <border>
      <left style="thin">
        <color rgb="FF000000"/>
      </left>
      <right style="thin">
        <color rgb="FFD5D3D1"/>
      </right>
      <top style="double">
        <color rgb="FFD5D3D1"/>
      </top>
      <bottom style="thin">
        <color rgb="FFD5D3D1"/>
      </bottom>
      <diagonal/>
    </border>
    <border>
      <left style="thin">
        <color rgb="FF000000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double">
        <color rgb="FFD5D3D1"/>
      </top>
      <bottom style="thin">
        <color rgb="FFD5D3D1"/>
      </bottom>
      <diagonal/>
    </border>
    <border>
      <left/>
      <right/>
      <top style="double">
        <color rgb="FFD5D3D1"/>
      </top>
      <bottom style="thin">
        <color rgb="FFD5D3D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16">
    <xf numFmtId="0" fontId="0" fillId="0" borderId="0" xfId="0"/>
    <xf numFmtId="0" fontId="0" fillId="0" borderId="0" xfId="0" applyAlignment="1">
      <alignment horizontal="center"/>
    </xf>
    <xf numFmtId="14" fontId="3" fillId="4" borderId="3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left"/>
    </xf>
    <xf numFmtId="0" fontId="6" fillId="0" borderId="5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4" fontId="2" fillId="0" borderId="0" xfId="0" applyNumberFormat="1" applyFont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0" fillId="7" borderId="10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0" fillId="9" borderId="0" xfId="0" applyFill="1"/>
    <xf numFmtId="0" fontId="10" fillId="0" borderId="8" xfId="0" applyFont="1" applyBorder="1" applyAlignment="1">
      <alignment horizontal="left"/>
    </xf>
    <xf numFmtId="0" fontId="2" fillId="5" borderId="12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6" fontId="0" fillId="0" borderId="0" xfId="0" applyNumberFormat="1" applyAlignment="1">
      <alignment horizontal="center"/>
    </xf>
    <xf numFmtId="0" fontId="10" fillId="0" borderId="1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2" xfId="0" applyNumberFormat="1" applyFon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6" fontId="0" fillId="3" borderId="2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14" fontId="0" fillId="2" borderId="0" xfId="0" applyNumberFormat="1" applyFill="1" applyAlignment="1">
      <alignment horizontal="center"/>
    </xf>
    <xf numFmtId="0" fontId="10" fillId="0" borderId="18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7" fillId="5" borderId="12" xfId="0" applyFont="1" applyFill="1" applyBorder="1" applyAlignment="1">
      <alignment horizontal="center"/>
    </xf>
    <xf numFmtId="0" fontId="9" fillId="7" borderId="19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center"/>
    </xf>
    <xf numFmtId="0" fontId="0" fillId="2" borderId="0" xfId="0" quotePrefix="1" applyFill="1" applyAlignment="1">
      <alignment horizontal="center"/>
    </xf>
    <xf numFmtId="0" fontId="4" fillId="2" borderId="0" xfId="0" applyFont="1" applyFill="1" applyAlignment="1">
      <alignment horizontal="center"/>
    </xf>
    <xf numFmtId="9" fontId="4" fillId="2" borderId="0" xfId="1" applyFont="1" applyFill="1" applyAlignment="1">
      <alignment horizontal="left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2" borderId="21" xfId="0" applyFill="1" applyBorder="1" applyAlignment="1">
      <alignment horizontal="center"/>
    </xf>
    <xf numFmtId="9" fontId="4" fillId="2" borderId="21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0" fillId="10" borderId="0" xfId="0" applyFill="1"/>
    <xf numFmtId="0" fontId="0" fillId="11" borderId="0" xfId="0" applyFill="1"/>
    <xf numFmtId="0" fontId="0" fillId="11" borderId="0" xfId="0" applyFill="1" applyAlignment="1">
      <alignment horizontal="center"/>
    </xf>
    <xf numFmtId="0" fontId="12" fillId="12" borderId="22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/>
    <xf numFmtId="9" fontId="13" fillId="2" borderId="0" xfId="0" applyNumberFormat="1" applyFont="1" applyFill="1" applyAlignment="1">
      <alignment horizontal="left"/>
    </xf>
    <xf numFmtId="9" fontId="14" fillId="2" borderId="0" xfId="1" applyFont="1" applyFill="1" applyAlignment="1">
      <alignment horizontal="left"/>
    </xf>
    <xf numFmtId="0" fontId="6" fillId="0" borderId="0" xfId="0" applyFont="1" applyAlignment="1">
      <alignment horizontal="center"/>
    </xf>
    <xf numFmtId="0" fontId="0" fillId="5" borderId="10" xfId="0" applyFill="1" applyBorder="1"/>
    <xf numFmtId="0" fontId="2" fillId="5" borderId="15" xfId="0" applyFont="1" applyFill="1" applyBorder="1" applyAlignment="1">
      <alignment horizontal="center"/>
    </xf>
    <xf numFmtId="0" fontId="0" fillId="0" borderId="33" xfId="0" applyBorder="1" applyAlignment="1">
      <alignment horizontal="left"/>
    </xf>
    <xf numFmtId="164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left"/>
    </xf>
    <xf numFmtId="164" fontId="15" fillId="0" borderId="34" xfId="0" applyNumberFormat="1" applyFont="1" applyBorder="1" applyAlignment="1">
      <alignment horizontal="center"/>
    </xf>
    <xf numFmtId="164" fontId="15" fillId="0" borderId="33" xfId="0" applyNumberFormat="1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1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64" fontId="0" fillId="2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center"/>
    </xf>
    <xf numFmtId="0" fontId="1" fillId="0" borderId="18" xfId="0" applyFont="1" applyBorder="1" applyAlignment="1">
      <alignment horizontal="left"/>
    </xf>
    <xf numFmtId="0" fontId="10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15" fillId="2" borderId="0" xfId="0" applyFont="1" applyFill="1"/>
    <xf numFmtId="166" fontId="0" fillId="2" borderId="0" xfId="0" applyNumberFormat="1" applyFill="1" applyAlignment="1">
      <alignment horizontal="center"/>
    </xf>
    <xf numFmtId="0" fontId="10" fillId="0" borderId="37" xfId="0" applyFont="1" applyBorder="1" applyAlignment="1">
      <alignment horizontal="left"/>
    </xf>
    <xf numFmtId="9" fontId="0" fillId="0" borderId="0" xfId="0" applyNumberFormat="1" applyAlignment="1">
      <alignment horizontal="center"/>
    </xf>
    <xf numFmtId="9" fontId="0" fillId="3" borderId="2" xfId="0" applyNumberFormat="1" applyFill="1" applyBorder="1" applyAlignment="1">
      <alignment horizontal="center"/>
    </xf>
    <xf numFmtId="9" fontId="0" fillId="2" borderId="0" xfId="0" applyNumberFormat="1" applyFill="1" applyAlignment="1">
      <alignment horizontal="center"/>
    </xf>
    <xf numFmtId="0" fontId="7" fillId="2" borderId="0" xfId="0" applyFont="1" applyFill="1" applyAlignment="1">
      <alignment horizontal="right"/>
    </xf>
    <xf numFmtId="9" fontId="0" fillId="2" borderId="12" xfId="0" applyNumberForma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38" xfId="0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9" fontId="4" fillId="2" borderId="12" xfId="1" applyFont="1" applyFill="1" applyBorder="1" applyAlignment="1">
      <alignment horizontal="left"/>
    </xf>
    <xf numFmtId="0" fontId="16" fillId="0" borderId="0" xfId="0" applyFont="1"/>
    <xf numFmtId="0" fontId="17" fillId="9" borderId="0" xfId="0" applyFont="1" applyFill="1"/>
    <xf numFmtId="0" fontId="17" fillId="0" borderId="0" xfId="0" applyFont="1" applyAlignment="1">
      <alignment horizontal="left"/>
    </xf>
    <xf numFmtId="0" fontId="15" fillId="0" borderId="18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2" fillId="12" borderId="25" xfId="0" applyFont="1" applyFill="1" applyBorder="1" applyAlignment="1">
      <alignment horizontal="center"/>
    </xf>
    <xf numFmtId="0" fontId="12" fillId="12" borderId="26" xfId="0" applyFont="1" applyFill="1" applyBorder="1" applyAlignment="1">
      <alignment horizontal="center"/>
    </xf>
    <xf numFmtId="0" fontId="18" fillId="10" borderId="0" xfId="0" applyFont="1" applyFill="1" applyAlignment="1">
      <alignment horizontal="center"/>
    </xf>
    <xf numFmtId="0" fontId="19" fillId="10" borderId="0" xfId="0" applyFont="1" applyFill="1"/>
    <xf numFmtId="0" fontId="19" fillId="10" borderId="0" xfId="0" applyFont="1" applyFill="1" applyAlignment="1">
      <alignment horizontal="center"/>
    </xf>
    <xf numFmtId="14" fontId="20" fillId="10" borderId="0" xfId="0" applyNumberFormat="1" applyFont="1" applyFill="1" applyAlignment="1">
      <alignment horizontal="center"/>
    </xf>
    <xf numFmtId="0" fontId="20" fillId="10" borderId="0" xfId="0" applyFont="1" applyFill="1"/>
    <xf numFmtId="0" fontId="20" fillId="2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164" fontId="22" fillId="11" borderId="22" xfId="0" applyNumberFormat="1" applyFont="1" applyFill="1" applyBorder="1" applyAlignment="1">
      <alignment horizontal="center"/>
    </xf>
    <xf numFmtId="0" fontId="22" fillId="11" borderId="22" xfId="0" applyFont="1" applyFill="1" applyBorder="1" applyAlignment="1">
      <alignment horizontal="center"/>
    </xf>
    <xf numFmtId="164" fontId="22" fillId="11" borderId="23" xfId="0" applyNumberFormat="1" applyFont="1" applyFill="1" applyBorder="1" applyAlignment="1">
      <alignment horizontal="center"/>
    </xf>
    <xf numFmtId="164" fontId="22" fillId="11" borderId="24" xfId="0" applyNumberFormat="1" applyFont="1" applyFill="1" applyBorder="1" applyAlignment="1">
      <alignment horizontal="center"/>
    </xf>
    <xf numFmtId="0" fontId="23" fillId="13" borderId="27" xfId="0" applyFont="1" applyFill="1" applyBorder="1" applyAlignment="1">
      <alignment horizontal="left"/>
    </xf>
    <xf numFmtId="0" fontId="24" fillId="13" borderId="22" xfId="0" applyFont="1" applyFill="1" applyBorder="1" applyAlignment="1">
      <alignment horizontal="left"/>
    </xf>
    <xf numFmtId="0" fontId="24" fillId="13" borderId="22" xfId="0" applyFont="1" applyFill="1" applyBorder="1" applyAlignment="1">
      <alignment horizontal="center"/>
    </xf>
    <xf numFmtId="0" fontId="22" fillId="2" borderId="28" xfId="0" applyFont="1" applyFill="1" applyBorder="1" applyAlignment="1">
      <alignment horizontal="left"/>
    </xf>
    <xf numFmtId="165" fontId="22" fillId="2" borderId="28" xfId="0" applyNumberFormat="1" applyFont="1" applyFill="1" applyBorder="1" applyAlignment="1">
      <alignment horizontal="center"/>
    </xf>
    <xf numFmtId="0" fontId="22" fillId="2" borderId="28" xfId="0" applyFont="1" applyFill="1" applyBorder="1" applyAlignment="1">
      <alignment horizontal="center"/>
    </xf>
    <xf numFmtId="9" fontId="22" fillId="2" borderId="28" xfId="1" applyFont="1" applyFill="1" applyBorder="1" applyAlignment="1">
      <alignment horizontal="center"/>
    </xf>
    <xf numFmtId="166" fontId="22" fillId="2" borderId="28" xfId="0" applyNumberFormat="1" applyFont="1" applyFill="1" applyBorder="1" applyAlignment="1">
      <alignment horizontal="center"/>
    </xf>
    <xf numFmtId="0" fontId="22" fillId="11" borderId="28" xfId="0" applyFont="1" applyFill="1" applyBorder="1" applyAlignment="1">
      <alignment horizontal="left"/>
    </xf>
    <xf numFmtId="0" fontId="22" fillId="11" borderId="28" xfId="0" applyFont="1" applyFill="1" applyBorder="1" applyAlignment="1">
      <alignment horizontal="center"/>
    </xf>
    <xf numFmtId="0" fontId="23" fillId="2" borderId="29" xfId="0" applyFont="1" applyFill="1" applyBorder="1" applyAlignment="1">
      <alignment horizontal="left"/>
    </xf>
    <xf numFmtId="0" fontId="23" fillId="2" borderId="29" xfId="0" applyFont="1" applyFill="1" applyBorder="1" applyAlignment="1">
      <alignment horizontal="center"/>
    </xf>
    <xf numFmtId="165" fontId="23" fillId="2" borderId="29" xfId="0" applyNumberFormat="1" applyFont="1" applyFill="1" applyBorder="1" applyAlignment="1">
      <alignment horizontal="center"/>
    </xf>
    <xf numFmtId="3" fontId="23" fillId="2" borderId="29" xfId="0" applyNumberFormat="1" applyFont="1" applyFill="1" applyBorder="1" applyAlignment="1">
      <alignment horizontal="center"/>
    </xf>
    <xf numFmtId="9" fontId="23" fillId="2" borderId="29" xfId="1" applyFont="1" applyFill="1" applyBorder="1" applyAlignment="1">
      <alignment horizontal="center"/>
    </xf>
    <xf numFmtId="166" fontId="23" fillId="2" borderId="29" xfId="0" applyNumberFormat="1" applyFont="1" applyFill="1" applyBorder="1" applyAlignment="1">
      <alignment horizontal="center"/>
    </xf>
    <xf numFmtId="0" fontId="23" fillId="11" borderId="29" xfId="0" applyFont="1" applyFill="1" applyBorder="1" applyAlignment="1">
      <alignment horizontal="left"/>
    </xf>
    <xf numFmtId="166" fontId="24" fillId="13" borderId="22" xfId="0" applyNumberFormat="1" applyFont="1" applyFill="1" applyBorder="1" applyAlignment="1">
      <alignment horizontal="center"/>
    </xf>
    <xf numFmtId="3" fontId="22" fillId="2" borderId="28" xfId="0" applyNumberFormat="1" applyFont="1" applyFill="1" applyBorder="1" applyAlignment="1">
      <alignment horizontal="center"/>
    </xf>
    <xf numFmtId="3" fontId="22" fillId="2" borderId="22" xfId="0" applyNumberFormat="1" applyFont="1" applyFill="1" applyBorder="1" applyAlignment="1">
      <alignment horizontal="center"/>
    </xf>
    <xf numFmtId="0" fontId="22" fillId="2" borderId="22" xfId="0" applyFont="1" applyFill="1" applyBorder="1" applyAlignment="1">
      <alignment horizontal="left"/>
    </xf>
    <xf numFmtId="0" fontId="24" fillId="13" borderId="22" xfId="0" applyFont="1" applyFill="1" applyBorder="1"/>
    <xf numFmtId="165" fontId="24" fillId="13" borderId="22" xfId="0" applyNumberFormat="1" applyFont="1" applyFill="1" applyBorder="1" applyAlignment="1">
      <alignment horizontal="center"/>
    </xf>
    <xf numFmtId="165" fontId="22" fillId="11" borderId="28" xfId="0" applyNumberFormat="1" applyFont="1" applyFill="1" applyBorder="1" applyAlignment="1">
      <alignment horizontal="center"/>
    </xf>
    <xf numFmtId="9" fontId="22" fillId="11" borderId="28" xfId="1" applyFont="1" applyFill="1" applyBorder="1" applyAlignment="1">
      <alignment horizontal="center"/>
    </xf>
    <xf numFmtId="166" fontId="22" fillId="11" borderId="28" xfId="0" applyNumberFormat="1" applyFont="1" applyFill="1" applyBorder="1" applyAlignment="1">
      <alignment horizontal="center"/>
    </xf>
    <xf numFmtId="0" fontId="22" fillId="11" borderId="23" xfId="0" applyFont="1" applyFill="1" applyBorder="1" applyAlignment="1">
      <alignment horizontal="left"/>
    </xf>
    <xf numFmtId="165" fontId="22" fillId="11" borderId="23" xfId="0" applyNumberFormat="1" applyFont="1" applyFill="1" applyBorder="1" applyAlignment="1">
      <alignment horizontal="center"/>
    </xf>
    <xf numFmtId="0" fontId="22" fillId="11" borderId="23" xfId="0" applyFont="1" applyFill="1" applyBorder="1" applyAlignment="1">
      <alignment horizontal="center"/>
    </xf>
    <xf numFmtId="3" fontId="22" fillId="11" borderId="22" xfId="0" applyNumberFormat="1" applyFont="1" applyFill="1" applyBorder="1" applyAlignment="1">
      <alignment horizontal="center"/>
    </xf>
    <xf numFmtId="9" fontId="22" fillId="11" borderId="23" xfId="1" applyFont="1" applyFill="1" applyBorder="1" applyAlignment="1">
      <alignment horizontal="center"/>
    </xf>
    <xf numFmtId="166" fontId="22" fillId="11" borderId="23" xfId="0" applyNumberFormat="1" applyFont="1" applyFill="1" applyBorder="1" applyAlignment="1">
      <alignment horizontal="center"/>
    </xf>
    <xf numFmtId="0" fontId="22" fillId="11" borderId="22" xfId="0" applyFont="1" applyFill="1" applyBorder="1" applyAlignment="1">
      <alignment horizontal="left"/>
    </xf>
    <xf numFmtId="165" fontId="22" fillId="11" borderId="22" xfId="0" applyNumberFormat="1" applyFont="1" applyFill="1" applyBorder="1" applyAlignment="1">
      <alignment horizontal="center"/>
    </xf>
    <xf numFmtId="9" fontId="22" fillId="11" borderId="22" xfId="1" applyFont="1" applyFill="1" applyBorder="1" applyAlignment="1">
      <alignment horizontal="center"/>
    </xf>
    <xf numFmtId="166" fontId="22" fillId="11" borderId="22" xfId="0" applyNumberFormat="1" applyFont="1" applyFill="1" applyBorder="1" applyAlignment="1">
      <alignment horizontal="center"/>
    </xf>
    <xf numFmtId="0" fontId="23" fillId="11" borderId="29" xfId="0" applyFont="1" applyFill="1" applyBorder="1" applyAlignment="1">
      <alignment horizontal="center"/>
    </xf>
    <xf numFmtId="165" fontId="23" fillId="11" borderId="29" xfId="0" applyNumberFormat="1" applyFont="1" applyFill="1" applyBorder="1" applyAlignment="1">
      <alignment horizontal="center"/>
    </xf>
    <xf numFmtId="3" fontId="23" fillId="11" borderId="29" xfId="0" applyNumberFormat="1" applyFont="1" applyFill="1" applyBorder="1" applyAlignment="1">
      <alignment horizontal="center"/>
    </xf>
    <xf numFmtId="9" fontId="23" fillId="11" borderId="29" xfId="1" applyFont="1" applyFill="1" applyBorder="1" applyAlignment="1">
      <alignment horizontal="center"/>
    </xf>
    <xf numFmtId="166" fontId="23" fillId="11" borderId="29" xfId="0" applyNumberFormat="1" applyFont="1" applyFill="1" applyBorder="1" applyAlignment="1">
      <alignment horizontal="center"/>
    </xf>
    <xf numFmtId="3" fontId="22" fillId="11" borderId="28" xfId="0" applyNumberFormat="1" applyFont="1" applyFill="1" applyBorder="1" applyAlignment="1">
      <alignment horizontal="center"/>
    </xf>
    <xf numFmtId="0" fontId="22" fillId="8" borderId="28" xfId="0" applyFont="1" applyFill="1" applyBorder="1" applyAlignment="1">
      <alignment horizontal="left"/>
    </xf>
    <xf numFmtId="165" fontId="22" fillId="8" borderId="28" xfId="0" applyNumberFormat="1" applyFont="1" applyFill="1" applyBorder="1" applyAlignment="1">
      <alignment horizontal="center"/>
    </xf>
    <xf numFmtId="0" fontId="22" fillId="8" borderId="28" xfId="0" applyFont="1" applyFill="1" applyBorder="1" applyAlignment="1">
      <alignment horizontal="center"/>
    </xf>
    <xf numFmtId="3" fontId="22" fillId="8" borderId="28" xfId="0" applyNumberFormat="1" applyFont="1" applyFill="1" applyBorder="1" applyAlignment="1">
      <alignment horizontal="center"/>
    </xf>
    <xf numFmtId="9" fontId="22" fillId="8" borderId="28" xfId="1" applyFont="1" applyFill="1" applyBorder="1" applyAlignment="1">
      <alignment horizontal="center"/>
    </xf>
    <xf numFmtId="166" fontId="22" fillId="8" borderId="28" xfId="0" applyNumberFormat="1" applyFont="1" applyFill="1" applyBorder="1" applyAlignment="1">
      <alignment horizontal="center"/>
    </xf>
    <xf numFmtId="0" fontId="20" fillId="11" borderId="0" xfId="0" applyFont="1" applyFill="1"/>
    <xf numFmtId="0" fontId="20" fillId="11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10" fillId="0" borderId="7" xfId="0" applyFont="1" applyBorder="1" applyAlignment="1">
      <alignment horizontal="left"/>
    </xf>
    <xf numFmtId="0" fontId="12" fillId="12" borderId="0" xfId="0" applyFont="1" applyFill="1" applyAlignment="1">
      <alignment horizontal="center"/>
    </xf>
    <xf numFmtId="0" fontId="12" fillId="12" borderId="30" xfId="0" applyFont="1" applyFill="1" applyBorder="1" applyAlignment="1">
      <alignment horizontal="center"/>
    </xf>
    <xf numFmtId="0" fontId="12" fillId="12" borderId="31" xfId="0" applyFont="1" applyFill="1" applyBorder="1" applyAlignment="1">
      <alignment horizontal="center"/>
    </xf>
    <xf numFmtId="0" fontId="27" fillId="14" borderId="0" xfId="0" applyFont="1" applyFill="1"/>
    <xf numFmtId="0" fontId="27" fillId="14" borderId="0" xfId="0" applyFont="1" applyFill="1" applyAlignment="1">
      <alignment horizontal="center"/>
    </xf>
    <xf numFmtId="0" fontId="0" fillId="0" borderId="64" xfId="0" applyBorder="1" applyAlignment="1">
      <alignment horizontal="center"/>
    </xf>
    <xf numFmtId="9" fontId="4" fillId="0" borderId="0" xfId="1" applyFont="1" applyAlignment="1">
      <alignment horizontal="left"/>
    </xf>
    <xf numFmtId="0" fontId="0" fillId="0" borderId="0" xfId="0" applyAlignment="1">
      <alignment vertical="center"/>
    </xf>
    <xf numFmtId="14" fontId="30" fillId="2" borderId="0" xfId="0" applyNumberFormat="1" applyFont="1" applyFill="1"/>
    <xf numFmtId="0" fontId="30" fillId="2" borderId="0" xfId="0" applyFont="1" applyFill="1"/>
    <xf numFmtId="0" fontId="31" fillId="0" borderId="0" xfId="0" applyFont="1"/>
    <xf numFmtId="0" fontId="32" fillId="10" borderId="0" xfId="0" applyFont="1" applyFill="1"/>
    <xf numFmtId="0" fontId="32" fillId="10" borderId="0" xfId="0" applyFont="1" applyFill="1" applyAlignment="1">
      <alignment horizontal="center"/>
    </xf>
    <xf numFmtId="9" fontId="32" fillId="10" borderId="0" xfId="1" applyFont="1" applyFill="1" applyAlignment="1">
      <alignment horizontal="center"/>
    </xf>
    <xf numFmtId="14" fontId="32" fillId="10" borderId="0" xfId="0" applyNumberFormat="1" applyFont="1" applyFill="1" applyAlignment="1">
      <alignment horizontal="center"/>
    </xf>
    <xf numFmtId="164" fontId="32" fillId="10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14" fontId="32" fillId="2" borderId="0" xfId="0" applyNumberFormat="1" applyFont="1" applyFill="1" applyAlignment="1">
      <alignment horizontal="center"/>
    </xf>
    <xf numFmtId="0" fontId="31" fillId="11" borderId="0" xfId="0" applyFont="1" applyFill="1"/>
    <xf numFmtId="0" fontId="31" fillId="11" borderId="0" xfId="0" applyFont="1" applyFill="1" applyAlignment="1">
      <alignment horizontal="center"/>
    </xf>
    <xf numFmtId="9" fontId="31" fillId="11" borderId="0" xfId="1" applyFont="1" applyFill="1" applyAlignment="1">
      <alignment horizontal="center"/>
    </xf>
    <xf numFmtId="0" fontId="31" fillId="2" borderId="0" xfId="0" applyFont="1" applyFill="1" applyAlignment="1">
      <alignment horizontal="center"/>
    </xf>
    <xf numFmtId="14" fontId="31" fillId="2" borderId="0" xfId="0" applyNumberFormat="1" applyFont="1" applyFill="1" applyAlignment="1">
      <alignment horizontal="center"/>
    </xf>
    <xf numFmtId="14" fontId="31" fillId="11" borderId="0" xfId="0" applyNumberFormat="1" applyFont="1" applyFill="1" applyAlignment="1">
      <alignment horizontal="center"/>
    </xf>
    <xf numFmtId="164" fontId="31" fillId="11" borderId="0" xfId="0" applyNumberFormat="1" applyFont="1" applyFill="1" applyAlignment="1">
      <alignment horizontal="center"/>
    </xf>
    <xf numFmtId="0" fontId="34" fillId="14" borderId="22" xfId="0" applyFont="1" applyFill="1" applyBorder="1" applyAlignment="1">
      <alignment horizontal="center"/>
    </xf>
    <xf numFmtId="164" fontId="35" fillId="11" borderId="22" xfId="0" applyNumberFormat="1" applyFont="1" applyFill="1" applyBorder="1" applyAlignment="1">
      <alignment horizontal="center"/>
    </xf>
    <xf numFmtId="0" fontId="35" fillId="11" borderId="22" xfId="0" applyFont="1" applyFill="1" applyBorder="1" applyAlignment="1">
      <alignment horizontal="center"/>
    </xf>
    <xf numFmtId="9" fontId="31" fillId="2" borderId="0" xfId="1" applyFont="1" applyFill="1" applyAlignment="1">
      <alignment horizontal="center"/>
    </xf>
    <xf numFmtId="9" fontId="36" fillId="2" borderId="0" xfId="1" applyFont="1" applyFill="1" applyAlignment="1">
      <alignment horizontal="left"/>
    </xf>
    <xf numFmtId="164" fontId="35" fillId="11" borderId="23" xfId="0" applyNumberFormat="1" applyFont="1" applyFill="1" applyBorder="1" applyAlignment="1">
      <alignment horizontal="center"/>
    </xf>
    <xf numFmtId="0" fontId="34" fillId="14" borderId="0" xfId="0" applyFont="1" applyFill="1" applyAlignment="1">
      <alignment horizontal="center"/>
    </xf>
    <xf numFmtId="164" fontId="35" fillId="11" borderId="24" xfId="0" applyNumberFormat="1" applyFont="1" applyFill="1" applyBorder="1" applyAlignment="1">
      <alignment horizontal="center"/>
    </xf>
    <xf numFmtId="9" fontId="37" fillId="2" borderId="0" xfId="1" applyFont="1" applyFill="1" applyAlignment="1">
      <alignment horizontal="left"/>
    </xf>
    <xf numFmtId="164" fontId="31" fillId="2" borderId="0" xfId="0" applyNumberFormat="1" applyFont="1" applyFill="1" applyAlignment="1">
      <alignment horizontal="center"/>
    </xf>
    <xf numFmtId="9" fontId="35" fillId="11" borderId="22" xfId="1" applyFont="1" applyFill="1" applyBorder="1" applyAlignment="1">
      <alignment horizontal="center"/>
    </xf>
    <xf numFmtId="9" fontId="35" fillId="11" borderId="0" xfId="1" applyFont="1" applyFill="1" applyBorder="1" applyAlignment="1">
      <alignment horizontal="center"/>
    </xf>
    <xf numFmtId="0" fontId="34" fillId="14" borderId="43" xfId="0" applyFont="1" applyFill="1" applyBorder="1" applyAlignment="1">
      <alignment horizontal="center"/>
    </xf>
    <xf numFmtId="0" fontId="30" fillId="2" borderId="0" xfId="0" applyFont="1" applyFill="1" applyAlignment="1">
      <alignment horizontal="center"/>
    </xf>
    <xf numFmtId="9" fontId="34" fillId="14" borderId="22" xfId="1" applyFont="1" applyFill="1" applyBorder="1" applyAlignment="1">
      <alignment horizontal="center"/>
    </xf>
    <xf numFmtId="14" fontId="34" fillId="14" borderId="22" xfId="0" applyNumberFormat="1" applyFont="1" applyFill="1" applyBorder="1" applyAlignment="1">
      <alignment horizontal="center"/>
    </xf>
    <xf numFmtId="0" fontId="34" fillId="14" borderId="25" xfId="0" applyFont="1" applyFill="1" applyBorder="1" applyAlignment="1">
      <alignment horizontal="center"/>
    </xf>
    <xf numFmtId="0" fontId="34" fillId="14" borderId="25" xfId="0" applyFont="1" applyFill="1" applyBorder="1"/>
    <xf numFmtId="0" fontId="34" fillId="14" borderId="26" xfId="0" applyFont="1" applyFill="1" applyBorder="1"/>
    <xf numFmtId="14" fontId="34" fillId="14" borderId="26" xfId="0" applyNumberFormat="1" applyFont="1" applyFill="1" applyBorder="1"/>
    <xf numFmtId="14" fontId="34" fillId="14" borderId="45" xfId="0" applyNumberFormat="1" applyFont="1" applyFill="1" applyBorder="1"/>
    <xf numFmtId="0" fontId="34" fillId="14" borderId="46" xfId="0" applyFont="1" applyFill="1" applyBorder="1" applyAlignment="1">
      <alignment horizontal="center"/>
    </xf>
    <xf numFmtId="0" fontId="34" fillId="14" borderId="55" xfId="0" applyFont="1" applyFill="1" applyBorder="1" applyAlignment="1">
      <alignment horizontal="center"/>
    </xf>
    <xf numFmtId="0" fontId="38" fillId="13" borderId="27" xfId="0" applyFont="1" applyFill="1" applyBorder="1" applyAlignment="1">
      <alignment horizontal="left"/>
    </xf>
    <xf numFmtId="0" fontId="39" fillId="13" borderId="22" xfId="0" applyFont="1" applyFill="1" applyBorder="1" applyAlignment="1">
      <alignment horizontal="left"/>
    </xf>
    <xf numFmtId="0" fontId="39" fillId="13" borderId="22" xfId="0" applyFont="1" applyFill="1" applyBorder="1" applyAlignment="1">
      <alignment horizontal="center"/>
    </xf>
    <xf numFmtId="9" fontId="39" fillId="13" borderId="22" xfId="1" applyFont="1" applyFill="1" applyBorder="1" applyAlignment="1">
      <alignment horizontal="center"/>
    </xf>
    <xf numFmtId="14" fontId="39" fillId="13" borderId="22" xfId="0" applyNumberFormat="1" applyFont="1" applyFill="1" applyBorder="1" applyAlignment="1">
      <alignment horizontal="center"/>
    </xf>
    <xf numFmtId="164" fontId="39" fillId="13" borderId="28" xfId="0" applyNumberFormat="1" applyFont="1" applyFill="1" applyBorder="1" applyAlignment="1">
      <alignment horizontal="center"/>
    </xf>
    <xf numFmtId="0" fontId="39" fillId="13" borderId="28" xfId="0" applyFont="1" applyFill="1" applyBorder="1" applyAlignment="1">
      <alignment horizontal="center"/>
    </xf>
    <xf numFmtId="0" fontId="39" fillId="13" borderId="49" xfId="0" applyFont="1" applyFill="1" applyBorder="1" applyAlignment="1">
      <alignment horizontal="center"/>
    </xf>
    <xf numFmtId="0" fontId="39" fillId="13" borderId="50" xfId="0" applyFont="1" applyFill="1" applyBorder="1" applyAlignment="1">
      <alignment horizontal="center"/>
    </xf>
    <xf numFmtId="0" fontId="39" fillId="13" borderId="52" xfId="0" applyFont="1" applyFill="1" applyBorder="1" applyAlignment="1">
      <alignment horizontal="center"/>
    </xf>
    <xf numFmtId="0" fontId="39" fillId="13" borderId="27" xfId="0" applyFont="1" applyFill="1" applyBorder="1" applyAlignment="1">
      <alignment horizontal="center"/>
    </xf>
    <xf numFmtId="0" fontId="39" fillId="13" borderId="92" xfId="0" applyFont="1" applyFill="1" applyBorder="1" applyAlignment="1">
      <alignment horizontal="center"/>
    </xf>
    <xf numFmtId="14" fontId="39" fillId="13" borderId="28" xfId="0" applyNumberFormat="1" applyFont="1" applyFill="1" applyBorder="1" applyAlignment="1">
      <alignment horizontal="center"/>
    </xf>
    <xf numFmtId="164" fontId="39" fillId="13" borderId="25" xfId="0" applyNumberFormat="1" applyFont="1" applyFill="1" applyBorder="1" applyAlignment="1">
      <alignment horizontal="center"/>
    </xf>
    <xf numFmtId="164" fontId="39" fillId="13" borderId="56" xfId="0" applyNumberFormat="1" applyFont="1" applyFill="1" applyBorder="1" applyAlignment="1">
      <alignment horizontal="center"/>
    </xf>
    <xf numFmtId="0" fontId="35" fillId="2" borderId="28" xfId="0" applyFont="1" applyFill="1" applyBorder="1" applyAlignment="1">
      <alignment horizontal="left"/>
    </xf>
    <xf numFmtId="165" fontId="35" fillId="2" borderId="28" xfId="0" applyNumberFormat="1" applyFont="1" applyFill="1" applyBorder="1" applyAlignment="1">
      <alignment horizontal="center"/>
    </xf>
    <xf numFmtId="167" fontId="35" fillId="2" borderId="28" xfId="1" applyNumberFormat="1" applyFont="1" applyFill="1" applyBorder="1" applyAlignment="1">
      <alignment horizontal="center"/>
    </xf>
    <xf numFmtId="0" fontId="35" fillId="2" borderId="28" xfId="0" applyFont="1" applyFill="1" applyBorder="1" applyAlignment="1">
      <alignment horizontal="center"/>
    </xf>
    <xf numFmtId="3" fontId="35" fillId="2" borderId="22" xfId="0" applyNumberFormat="1" applyFont="1" applyFill="1" applyBorder="1" applyAlignment="1">
      <alignment horizontal="center"/>
    </xf>
    <xf numFmtId="9" fontId="35" fillId="2" borderId="28" xfId="1" applyFont="1" applyFill="1" applyBorder="1" applyAlignment="1">
      <alignment horizontal="center"/>
    </xf>
    <xf numFmtId="166" fontId="35" fillId="2" borderId="28" xfId="0" applyNumberFormat="1" applyFont="1" applyFill="1" applyBorder="1" applyAlignment="1">
      <alignment horizontal="center"/>
    </xf>
    <xf numFmtId="14" fontId="35" fillId="2" borderId="28" xfId="0" applyNumberFormat="1" applyFont="1" applyFill="1" applyBorder="1" applyAlignment="1">
      <alignment horizontal="center"/>
    </xf>
    <xf numFmtId="14" fontId="35" fillId="11" borderId="22" xfId="0" applyNumberFormat="1" applyFont="1" applyFill="1" applyBorder="1" applyAlignment="1">
      <alignment horizontal="center"/>
    </xf>
    <xf numFmtId="14" fontId="38" fillId="11" borderId="28" xfId="0" applyNumberFormat="1" applyFont="1" applyFill="1" applyBorder="1" applyAlignment="1">
      <alignment horizontal="center"/>
    </xf>
    <xf numFmtId="14" fontId="38" fillId="2" borderId="28" xfId="0" applyNumberFormat="1" applyFont="1" applyFill="1" applyBorder="1" applyAlignment="1">
      <alignment horizontal="center"/>
    </xf>
    <xf numFmtId="0" fontId="35" fillId="11" borderId="28" xfId="0" applyFont="1" applyFill="1" applyBorder="1" applyAlignment="1">
      <alignment horizontal="center"/>
    </xf>
    <xf numFmtId="14" fontId="35" fillId="11" borderId="54" xfId="0" applyNumberFormat="1" applyFont="1" applyFill="1" applyBorder="1" applyAlignment="1">
      <alignment horizontal="center"/>
    </xf>
    <xf numFmtId="0" fontId="35" fillId="11" borderId="50" xfId="0" applyFont="1" applyFill="1" applyBorder="1" applyAlignment="1">
      <alignment horizontal="center"/>
    </xf>
    <xf numFmtId="0" fontId="35" fillId="11" borderId="54" xfId="0" applyFont="1" applyFill="1" applyBorder="1" applyAlignment="1">
      <alignment horizontal="center"/>
    </xf>
    <xf numFmtId="0" fontId="35" fillId="11" borderId="92" xfId="0" applyFont="1" applyFill="1" applyBorder="1" applyAlignment="1">
      <alignment horizontal="center"/>
    </xf>
    <xf numFmtId="14" fontId="35" fillId="11" borderId="28" xfId="0" applyNumberFormat="1" applyFont="1" applyFill="1" applyBorder="1" applyAlignment="1">
      <alignment horizontal="center"/>
    </xf>
    <xf numFmtId="164" fontId="35" fillId="16" borderId="27" xfId="0" applyNumberFormat="1" applyFont="1" applyFill="1" applyBorder="1" applyAlignment="1">
      <alignment horizontal="center"/>
    </xf>
    <xf numFmtId="164" fontId="35" fillId="16" borderId="57" xfId="0" applyNumberFormat="1" applyFont="1" applyFill="1" applyBorder="1" applyAlignment="1">
      <alignment horizontal="center"/>
    </xf>
    <xf numFmtId="0" fontId="31" fillId="2" borderId="0" xfId="0" applyFont="1" applyFill="1"/>
    <xf numFmtId="0" fontId="35" fillId="0" borderId="28" xfId="0" applyFont="1" applyBorder="1" applyAlignment="1">
      <alignment horizontal="left"/>
    </xf>
    <xf numFmtId="165" fontId="35" fillId="0" borderId="28" xfId="0" applyNumberFormat="1" applyFont="1" applyBorder="1" applyAlignment="1">
      <alignment horizontal="center"/>
    </xf>
    <xf numFmtId="167" fontId="30" fillId="0" borderId="28" xfId="1" applyNumberFormat="1" applyFont="1" applyFill="1" applyBorder="1" applyAlignment="1">
      <alignment horizontal="center"/>
    </xf>
    <xf numFmtId="0" fontId="35" fillId="0" borderId="28" xfId="0" applyFont="1" applyBorder="1" applyAlignment="1">
      <alignment horizontal="center"/>
    </xf>
    <xf numFmtId="3" fontId="35" fillId="0" borderId="22" xfId="0" applyNumberFormat="1" applyFont="1" applyBorder="1" applyAlignment="1">
      <alignment horizontal="center"/>
    </xf>
    <xf numFmtId="9" fontId="35" fillId="0" borderId="28" xfId="1" applyFont="1" applyFill="1" applyBorder="1" applyAlignment="1">
      <alignment horizontal="center"/>
    </xf>
    <xf numFmtId="0" fontId="35" fillId="0" borderId="22" xfId="0" applyFont="1" applyBorder="1" applyAlignment="1">
      <alignment horizontal="center"/>
    </xf>
    <xf numFmtId="166" fontId="35" fillId="0" borderId="28" xfId="0" applyNumberFormat="1" applyFont="1" applyBorder="1" applyAlignment="1">
      <alignment horizontal="center"/>
    </xf>
    <xf numFmtId="14" fontId="35" fillId="0" borderId="28" xfId="0" applyNumberFormat="1" applyFont="1" applyBorder="1" applyAlignment="1">
      <alignment horizontal="center"/>
    </xf>
    <xf numFmtId="0" fontId="35" fillId="15" borderId="28" xfId="0" applyFont="1" applyFill="1" applyBorder="1" applyAlignment="1">
      <alignment horizontal="left"/>
    </xf>
    <xf numFmtId="14" fontId="38" fillId="0" borderId="28" xfId="0" applyNumberFormat="1" applyFont="1" applyBorder="1" applyAlignment="1">
      <alignment horizontal="center"/>
    </xf>
    <xf numFmtId="0" fontId="35" fillId="11" borderId="52" xfId="0" applyFont="1" applyFill="1" applyBorder="1" applyAlignment="1">
      <alignment horizontal="center"/>
    </xf>
    <xf numFmtId="0" fontId="35" fillId="2" borderId="92" xfId="0" applyFont="1" applyFill="1" applyBorder="1" applyAlignment="1">
      <alignment horizontal="center"/>
    </xf>
    <xf numFmtId="164" fontId="35" fillId="16" borderId="25" xfId="0" applyNumberFormat="1" applyFont="1" applyFill="1" applyBorder="1" applyAlignment="1">
      <alignment horizontal="center"/>
    </xf>
    <xf numFmtId="164" fontId="35" fillId="16" borderId="56" xfId="0" applyNumberFormat="1" applyFont="1" applyFill="1" applyBorder="1" applyAlignment="1">
      <alignment horizontal="center"/>
    </xf>
    <xf numFmtId="0" fontId="35" fillId="11" borderId="28" xfId="0" applyFont="1" applyFill="1" applyBorder="1" applyAlignment="1">
      <alignment horizontal="left"/>
    </xf>
    <xf numFmtId="165" fontId="35" fillId="11" borderId="28" xfId="0" applyNumberFormat="1" applyFont="1" applyFill="1" applyBorder="1" applyAlignment="1">
      <alignment horizontal="center"/>
    </xf>
    <xf numFmtId="167" fontId="35" fillId="11" borderId="28" xfId="1" applyNumberFormat="1" applyFont="1" applyFill="1" applyBorder="1" applyAlignment="1">
      <alignment horizontal="center"/>
    </xf>
    <xf numFmtId="3" fontId="35" fillId="11" borderId="22" xfId="0" applyNumberFormat="1" applyFont="1" applyFill="1" applyBorder="1" applyAlignment="1">
      <alignment horizontal="center"/>
    </xf>
    <xf numFmtId="9" fontId="35" fillId="11" borderId="28" xfId="1" applyFont="1" applyFill="1" applyBorder="1" applyAlignment="1">
      <alignment horizontal="center"/>
    </xf>
    <xf numFmtId="0" fontId="35" fillId="11" borderId="25" xfId="0" applyFont="1" applyFill="1" applyBorder="1" applyAlignment="1">
      <alignment horizontal="center"/>
    </xf>
    <xf numFmtId="164" fontId="35" fillId="11" borderId="58" xfId="0" applyNumberFormat="1" applyFont="1" applyFill="1" applyBorder="1" applyAlignment="1">
      <alignment horizontal="center"/>
    </xf>
    <xf numFmtId="164" fontId="35" fillId="11" borderId="60" xfId="0" applyNumberFormat="1" applyFont="1" applyFill="1" applyBorder="1" applyAlignment="1">
      <alignment horizontal="center"/>
    </xf>
    <xf numFmtId="0" fontId="30" fillId="2" borderId="39" xfId="0" applyFont="1" applyFill="1" applyBorder="1" applyAlignment="1">
      <alignment horizontal="center"/>
    </xf>
    <xf numFmtId="0" fontId="30" fillId="2" borderId="39" xfId="0" quotePrefix="1" applyFont="1" applyFill="1" applyBorder="1" applyAlignment="1">
      <alignment horizontal="left"/>
    </xf>
    <xf numFmtId="167" fontId="31" fillId="2" borderId="0" xfId="1" applyNumberFormat="1" applyFont="1" applyFill="1" applyAlignment="1">
      <alignment horizontal="center"/>
    </xf>
    <xf numFmtId="0" fontId="36" fillId="2" borderId="0" xfId="0" applyFont="1" applyFill="1" applyAlignment="1">
      <alignment horizontal="center"/>
    </xf>
    <xf numFmtId="0" fontId="31" fillId="2" borderId="37" xfId="0" applyFont="1" applyFill="1" applyBorder="1" applyAlignment="1">
      <alignment horizontal="center"/>
    </xf>
    <xf numFmtId="164" fontId="31" fillId="2" borderId="5" xfId="0" applyNumberFormat="1" applyFont="1" applyFill="1" applyBorder="1" applyAlignment="1">
      <alignment horizontal="center"/>
    </xf>
    <xf numFmtId="0" fontId="30" fillId="2" borderId="0" xfId="0" quotePrefix="1" applyFont="1" applyFill="1" applyAlignment="1">
      <alignment horizontal="center"/>
    </xf>
    <xf numFmtId="0" fontId="36" fillId="0" borderId="0" xfId="0" applyFont="1" applyAlignment="1">
      <alignment horizontal="center"/>
    </xf>
    <xf numFmtId="166" fontId="31" fillId="2" borderId="0" xfId="0" applyNumberFormat="1" applyFont="1" applyFill="1" applyAlignment="1">
      <alignment horizontal="center"/>
    </xf>
    <xf numFmtId="167" fontId="39" fillId="13" borderId="22" xfId="1" applyNumberFormat="1" applyFont="1" applyFill="1" applyBorder="1" applyAlignment="1">
      <alignment horizontal="center"/>
    </xf>
    <xf numFmtId="0" fontId="39" fillId="13" borderId="54" xfId="0" applyFont="1" applyFill="1" applyBorder="1" applyAlignment="1">
      <alignment horizontal="center"/>
    </xf>
    <xf numFmtId="0" fontId="39" fillId="13" borderId="41" xfId="0" applyFont="1" applyFill="1" applyBorder="1" applyAlignment="1">
      <alignment horizontal="center"/>
    </xf>
    <xf numFmtId="0" fontId="39" fillId="13" borderId="94" xfId="0" applyFont="1" applyFill="1" applyBorder="1" applyAlignment="1">
      <alignment horizontal="center"/>
    </xf>
    <xf numFmtId="0" fontId="39" fillId="13" borderId="59" xfId="0" applyFont="1" applyFill="1" applyBorder="1" applyAlignment="1">
      <alignment horizontal="center"/>
    </xf>
    <xf numFmtId="0" fontId="39" fillId="13" borderId="62" xfId="0" applyFont="1" applyFill="1" applyBorder="1" applyAlignment="1">
      <alignment horizontal="center"/>
    </xf>
    <xf numFmtId="164" fontId="35" fillId="2" borderId="25" xfId="0" applyNumberFormat="1" applyFont="1" applyFill="1" applyBorder="1" applyAlignment="1">
      <alignment horizontal="center"/>
    </xf>
    <xf numFmtId="164" fontId="35" fillId="2" borderId="58" xfId="0" applyNumberFormat="1" applyFont="1" applyFill="1" applyBorder="1" applyAlignment="1">
      <alignment horizontal="center"/>
    </xf>
    <xf numFmtId="0" fontId="35" fillId="11" borderId="82" xfId="0" applyFont="1" applyFill="1" applyBorder="1" applyAlignment="1">
      <alignment horizontal="left"/>
    </xf>
    <xf numFmtId="0" fontId="31" fillId="0" borderId="66" xfId="0" applyFont="1" applyBorder="1" applyAlignment="1">
      <alignment horizontal="left"/>
    </xf>
    <xf numFmtId="0" fontId="31" fillId="0" borderId="83" xfId="0" applyFont="1" applyBorder="1" applyAlignment="1">
      <alignment horizontal="left"/>
    </xf>
    <xf numFmtId="164" fontId="31" fillId="0" borderId="68" xfId="0" applyNumberFormat="1" applyFont="1" applyBorder="1" applyAlignment="1">
      <alignment horizontal="center"/>
    </xf>
    <xf numFmtId="167" fontId="35" fillId="11" borderId="71" xfId="1" applyNumberFormat="1" applyFont="1" applyFill="1" applyBorder="1" applyAlignment="1">
      <alignment horizontal="center"/>
    </xf>
    <xf numFmtId="0" fontId="35" fillId="11" borderId="72" xfId="0" applyFont="1" applyFill="1" applyBorder="1" applyAlignment="1">
      <alignment horizontal="center"/>
    </xf>
    <xf numFmtId="3" fontId="31" fillId="0" borderId="73" xfId="0" applyNumberFormat="1" applyFont="1" applyBorder="1" applyAlignment="1">
      <alignment horizontal="center"/>
    </xf>
    <xf numFmtId="0" fontId="31" fillId="0" borderId="73" xfId="0" applyFont="1" applyBorder="1" applyAlignment="1">
      <alignment horizontal="center"/>
    </xf>
    <xf numFmtId="0" fontId="35" fillId="11" borderId="68" xfId="0" applyFont="1" applyFill="1" applyBorder="1" applyAlignment="1">
      <alignment horizontal="center"/>
    </xf>
    <xf numFmtId="0" fontId="31" fillId="0" borderId="83" xfId="0" applyFont="1" applyBorder="1" applyAlignment="1">
      <alignment horizontal="center"/>
    </xf>
    <xf numFmtId="14" fontId="31" fillId="0" borderId="83" xfId="0" applyNumberFormat="1" applyFont="1" applyBorder="1" applyAlignment="1">
      <alignment horizontal="center"/>
    </xf>
    <xf numFmtId="0" fontId="35" fillId="11" borderId="84" xfId="0" applyFont="1" applyFill="1" applyBorder="1" applyAlignment="1">
      <alignment horizontal="left"/>
    </xf>
    <xf numFmtId="0" fontId="35" fillId="11" borderId="41" xfId="0" applyFont="1" applyFill="1" applyBorder="1" applyAlignment="1">
      <alignment horizontal="left"/>
    </xf>
    <xf numFmtId="0" fontId="35" fillId="11" borderId="41" xfId="0" applyFont="1" applyFill="1" applyBorder="1" applyAlignment="1">
      <alignment horizontal="center"/>
    </xf>
    <xf numFmtId="164" fontId="35" fillId="11" borderId="54" xfId="0" applyNumberFormat="1" applyFont="1" applyFill="1" applyBorder="1" applyAlignment="1">
      <alignment horizontal="center"/>
    </xf>
    <xf numFmtId="164" fontId="35" fillId="11" borderId="25" xfId="0" applyNumberFormat="1" applyFont="1" applyFill="1" applyBorder="1" applyAlignment="1">
      <alignment horizontal="center"/>
    </xf>
    <xf numFmtId="0" fontId="38" fillId="2" borderId="29" xfId="0" applyFont="1" applyFill="1" applyBorder="1" applyAlignment="1">
      <alignment horizontal="left"/>
    </xf>
    <xf numFmtId="0" fontId="38" fillId="2" borderId="29" xfId="0" applyFont="1" applyFill="1" applyBorder="1" applyAlignment="1">
      <alignment horizontal="center"/>
    </xf>
    <xf numFmtId="165" fontId="38" fillId="2" borderId="29" xfId="0" applyNumberFormat="1" applyFont="1" applyFill="1" applyBorder="1" applyAlignment="1">
      <alignment horizontal="center"/>
    </xf>
    <xf numFmtId="167" fontId="38" fillId="2" borderId="29" xfId="1" applyNumberFormat="1" applyFont="1" applyFill="1" applyBorder="1" applyAlignment="1">
      <alignment horizontal="center"/>
    </xf>
    <xf numFmtId="3" fontId="38" fillId="2" borderId="29" xfId="0" applyNumberFormat="1" applyFont="1" applyFill="1" applyBorder="1" applyAlignment="1">
      <alignment horizontal="center"/>
    </xf>
    <xf numFmtId="9" fontId="38" fillId="2" borderId="29" xfId="1" applyFont="1" applyFill="1" applyBorder="1" applyAlignment="1">
      <alignment horizontal="center"/>
    </xf>
    <xf numFmtId="166" fontId="38" fillId="2" borderId="29" xfId="0" applyNumberFormat="1" applyFont="1" applyFill="1" applyBorder="1" applyAlignment="1">
      <alignment horizontal="center"/>
    </xf>
    <xf numFmtId="14" fontId="38" fillId="2" borderId="29" xfId="0" applyNumberFormat="1" applyFont="1" applyFill="1" applyBorder="1" applyAlignment="1">
      <alignment horizontal="center"/>
    </xf>
    <xf numFmtId="0" fontId="38" fillId="11" borderId="29" xfId="0" applyFont="1" applyFill="1" applyBorder="1" applyAlignment="1">
      <alignment horizontal="left"/>
    </xf>
    <xf numFmtId="0" fontId="38" fillId="11" borderId="29" xfId="0" applyFont="1" applyFill="1" applyBorder="1" applyAlignment="1">
      <alignment horizontal="center"/>
    </xf>
    <xf numFmtId="14" fontId="38" fillId="11" borderId="29" xfId="0" applyNumberFormat="1" applyFont="1" applyFill="1" applyBorder="1" applyAlignment="1">
      <alignment horizontal="center"/>
    </xf>
    <xf numFmtId="164" fontId="38" fillId="11" borderId="29" xfId="0" applyNumberFormat="1" applyFont="1" applyFill="1" applyBorder="1" applyAlignment="1">
      <alignment horizontal="center"/>
    </xf>
    <xf numFmtId="0" fontId="38" fillId="11" borderId="53" xfId="0" applyFont="1" applyFill="1" applyBorder="1" applyAlignment="1">
      <alignment horizontal="center"/>
    </xf>
    <xf numFmtId="0" fontId="38" fillId="11" borderId="51" xfId="0" applyFont="1" applyFill="1" applyBorder="1" applyAlignment="1">
      <alignment horizontal="center"/>
    </xf>
    <xf numFmtId="0" fontId="38" fillId="11" borderId="93" xfId="0" applyFont="1" applyFill="1" applyBorder="1" applyAlignment="1">
      <alignment horizontal="center"/>
    </xf>
    <xf numFmtId="164" fontId="38" fillId="11" borderId="95" xfId="0" applyNumberFormat="1" applyFont="1" applyFill="1" applyBorder="1" applyAlignment="1">
      <alignment horizontal="center"/>
    </xf>
    <xf numFmtId="164" fontId="38" fillId="11" borderId="63" xfId="0" applyNumberFormat="1" applyFont="1" applyFill="1" applyBorder="1" applyAlignment="1">
      <alignment horizontal="center"/>
    </xf>
    <xf numFmtId="164" fontId="38" fillId="11" borderId="61" xfId="0" applyNumberFormat="1" applyFont="1" applyFill="1" applyBorder="1" applyAlignment="1">
      <alignment horizontal="center"/>
    </xf>
    <xf numFmtId="0" fontId="31" fillId="0" borderId="0" xfId="0" applyFont="1" applyAlignment="1">
      <alignment horizontal="center"/>
    </xf>
    <xf numFmtId="14" fontId="31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31" fillId="0" borderId="37" xfId="0" applyFont="1" applyBorder="1" applyAlignment="1">
      <alignment horizontal="center"/>
    </xf>
    <xf numFmtId="164" fontId="31" fillId="0" borderId="5" xfId="0" applyNumberFormat="1" applyFont="1" applyBorder="1" applyAlignment="1">
      <alignment horizontal="center"/>
    </xf>
    <xf numFmtId="166" fontId="39" fillId="13" borderId="22" xfId="0" applyNumberFormat="1" applyFont="1" applyFill="1" applyBorder="1" applyAlignment="1">
      <alignment horizontal="center"/>
    </xf>
    <xf numFmtId="164" fontId="39" fillId="13" borderId="22" xfId="0" applyNumberFormat="1" applyFont="1" applyFill="1" applyBorder="1" applyAlignment="1">
      <alignment horizontal="center"/>
    </xf>
    <xf numFmtId="164" fontId="39" fillId="13" borderId="27" xfId="0" applyNumberFormat="1" applyFont="1" applyFill="1" applyBorder="1" applyAlignment="1">
      <alignment horizontal="center"/>
    </xf>
    <xf numFmtId="164" fontId="39" fillId="13" borderId="59" xfId="0" applyNumberFormat="1" applyFont="1" applyFill="1" applyBorder="1" applyAlignment="1">
      <alignment horizontal="center"/>
    </xf>
    <xf numFmtId="164" fontId="39" fillId="13" borderId="62" xfId="0" applyNumberFormat="1" applyFont="1" applyFill="1" applyBorder="1" applyAlignment="1">
      <alignment horizontal="center"/>
    </xf>
    <xf numFmtId="0" fontId="35" fillId="11" borderId="65" xfId="0" applyFont="1" applyFill="1" applyBorder="1" applyAlignment="1">
      <alignment horizontal="left"/>
    </xf>
    <xf numFmtId="3" fontId="31" fillId="0" borderId="0" xfId="0" applyNumberFormat="1" applyFont="1" applyAlignment="1">
      <alignment horizontal="center"/>
    </xf>
    <xf numFmtId="164" fontId="35" fillId="11" borderId="28" xfId="0" applyNumberFormat="1" applyFont="1" applyFill="1" applyBorder="1" applyAlignment="1">
      <alignment horizontal="center"/>
    </xf>
    <xf numFmtId="0" fontId="35" fillId="11" borderId="89" xfId="0" applyFont="1" applyFill="1" applyBorder="1" applyAlignment="1">
      <alignment horizontal="left"/>
    </xf>
    <xf numFmtId="164" fontId="31" fillId="0" borderId="74" xfId="0" applyNumberFormat="1" applyFont="1" applyBorder="1" applyAlignment="1">
      <alignment horizontal="center"/>
    </xf>
    <xf numFmtId="0" fontId="35" fillId="11" borderId="50" xfId="0" applyFont="1" applyFill="1" applyBorder="1" applyAlignment="1">
      <alignment horizontal="left"/>
    </xf>
    <xf numFmtId="3" fontId="35" fillId="2" borderId="28" xfId="0" applyNumberFormat="1" applyFont="1" applyFill="1" applyBorder="1" applyAlignment="1">
      <alignment horizontal="center"/>
    </xf>
    <xf numFmtId="164" fontId="35" fillId="2" borderId="28" xfId="0" applyNumberFormat="1" applyFont="1" applyFill="1" applyBorder="1" applyAlignment="1">
      <alignment horizontal="center"/>
    </xf>
    <xf numFmtId="0" fontId="35" fillId="2" borderId="22" xfId="0" applyFont="1" applyFill="1" applyBorder="1" applyAlignment="1">
      <alignment horizontal="left"/>
    </xf>
    <xf numFmtId="0" fontId="35" fillId="11" borderId="70" xfId="0" applyFont="1" applyFill="1" applyBorder="1" applyAlignment="1">
      <alignment horizontal="center"/>
    </xf>
    <xf numFmtId="0" fontId="35" fillId="2" borderId="70" xfId="0" applyFont="1" applyFill="1" applyBorder="1" applyAlignment="1">
      <alignment horizontal="center"/>
    </xf>
    <xf numFmtId="14" fontId="35" fillId="11" borderId="70" xfId="0" applyNumberFormat="1" applyFont="1" applyFill="1" applyBorder="1" applyAlignment="1">
      <alignment horizontal="center"/>
    </xf>
    <xf numFmtId="0" fontId="35" fillId="11" borderId="70" xfId="0" applyFont="1" applyFill="1" applyBorder="1" applyAlignment="1">
      <alignment horizontal="left"/>
    </xf>
    <xf numFmtId="0" fontId="35" fillId="11" borderId="90" xfId="0" applyFont="1" applyFill="1" applyBorder="1" applyAlignment="1">
      <alignment horizontal="left"/>
    </xf>
    <xf numFmtId="9" fontId="35" fillId="11" borderId="71" xfId="1" applyFont="1" applyFill="1" applyBorder="1" applyAlignment="1">
      <alignment horizontal="center"/>
    </xf>
    <xf numFmtId="9" fontId="31" fillId="0" borderId="83" xfId="0" applyNumberFormat="1" applyFont="1" applyBorder="1" applyAlignment="1">
      <alignment horizontal="center"/>
    </xf>
    <xf numFmtId="164" fontId="38" fillId="2" borderId="29" xfId="0" applyNumberFormat="1" applyFont="1" applyFill="1" applyBorder="1" applyAlignment="1">
      <alignment horizontal="center"/>
    </xf>
    <xf numFmtId="0" fontId="39" fillId="13" borderId="22" xfId="0" applyFont="1" applyFill="1" applyBorder="1"/>
    <xf numFmtId="165" fontId="39" fillId="13" borderId="22" xfId="0" applyNumberFormat="1" applyFont="1" applyFill="1" applyBorder="1" applyAlignment="1">
      <alignment horizontal="center"/>
    </xf>
    <xf numFmtId="0" fontId="35" fillId="11" borderId="22" xfId="0" applyFont="1" applyFill="1" applyBorder="1" applyAlignment="1">
      <alignment horizontal="left"/>
    </xf>
    <xf numFmtId="165" fontId="35" fillId="11" borderId="22" xfId="0" applyNumberFormat="1" applyFont="1" applyFill="1" applyBorder="1" applyAlignment="1">
      <alignment horizontal="center"/>
    </xf>
    <xf numFmtId="166" fontId="35" fillId="11" borderId="22" xfId="0" applyNumberFormat="1" applyFont="1" applyFill="1" applyBorder="1" applyAlignment="1">
      <alignment horizontal="center"/>
    </xf>
    <xf numFmtId="0" fontId="31" fillId="0" borderId="0" xfId="0" applyFont="1" applyAlignment="1">
      <alignment horizontal="left"/>
    </xf>
    <xf numFmtId="9" fontId="31" fillId="0" borderId="0" xfId="0" applyNumberFormat="1" applyFont="1" applyAlignment="1">
      <alignment horizontal="center"/>
    </xf>
    <xf numFmtId="164" fontId="35" fillId="0" borderId="0" xfId="0" applyNumberFormat="1" applyFont="1" applyAlignment="1">
      <alignment horizontal="center"/>
    </xf>
    <xf numFmtId="166" fontId="35" fillId="11" borderId="28" xfId="0" applyNumberFormat="1" applyFont="1" applyFill="1" applyBorder="1" applyAlignment="1">
      <alignment horizontal="center"/>
    </xf>
    <xf numFmtId="0" fontId="35" fillId="11" borderId="23" xfId="0" applyFont="1" applyFill="1" applyBorder="1" applyAlignment="1">
      <alignment horizontal="left"/>
    </xf>
    <xf numFmtId="165" fontId="35" fillId="11" borderId="70" xfId="0" applyNumberFormat="1" applyFont="1" applyFill="1" applyBorder="1" applyAlignment="1">
      <alignment horizontal="center"/>
    </xf>
    <xf numFmtId="9" fontId="35" fillId="11" borderId="23" xfId="1" applyFont="1" applyFill="1" applyBorder="1" applyAlignment="1">
      <alignment horizontal="center"/>
    </xf>
    <xf numFmtId="0" fontId="35" fillId="11" borderId="23" xfId="0" applyFont="1" applyFill="1" applyBorder="1" applyAlignment="1">
      <alignment horizontal="center"/>
    </xf>
    <xf numFmtId="9" fontId="35" fillId="11" borderId="85" xfId="1" applyFont="1" applyFill="1" applyBorder="1" applyAlignment="1">
      <alignment horizontal="center"/>
    </xf>
    <xf numFmtId="0" fontId="35" fillId="11" borderId="67" xfId="0" applyFont="1" applyFill="1" applyBorder="1" applyAlignment="1">
      <alignment horizontal="center"/>
    </xf>
    <xf numFmtId="0" fontId="35" fillId="2" borderId="67" xfId="0" applyFont="1" applyFill="1" applyBorder="1" applyAlignment="1">
      <alignment horizontal="center"/>
    </xf>
    <xf numFmtId="0" fontId="35" fillId="11" borderId="86" xfId="0" applyFont="1" applyFill="1" applyBorder="1" applyAlignment="1">
      <alignment horizontal="center"/>
    </xf>
    <xf numFmtId="0" fontId="35" fillId="11" borderId="78" xfId="0" applyFont="1" applyFill="1" applyBorder="1" applyAlignment="1">
      <alignment horizontal="center"/>
    </xf>
    <xf numFmtId="14" fontId="35" fillId="11" borderId="78" xfId="0" applyNumberFormat="1" applyFont="1" applyFill="1" applyBorder="1" applyAlignment="1">
      <alignment horizontal="center"/>
    </xf>
    <xf numFmtId="0" fontId="35" fillId="11" borderId="79" xfId="0" applyFont="1" applyFill="1" applyBorder="1" applyAlignment="1">
      <alignment horizontal="left"/>
    </xf>
    <xf numFmtId="0" fontId="35" fillId="11" borderId="80" xfId="0" applyFont="1" applyFill="1" applyBorder="1" applyAlignment="1">
      <alignment horizontal="left"/>
    </xf>
    <xf numFmtId="0" fontId="35" fillId="11" borderId="25" xfId="0" applyFont="1" applyFill="1" applyBorder="1" applyAlignment="1">
      <alignment horizontal="left"/>
    </xf>
    <xf numFmtId="164" fontId="31" fillId="0" borderId="67" xfId="0" applyNumberFormat="1" applyFont="1" applyBorder="1" applyAlignment="1">
      <alignment horizontal="center"/>
    </xf>
    <xf numFmtId="9" fontId="35" fillId="11" borderId="69" xfId="1" applyFont="1" applyFill="1" applyBorder="1" applyAlignment="1">
      <alignment horizontal="center"/>
    </xf>
    <xf numFmtId="0" fontId="31" fillId="0" borderId="68" xfId="0" applyFont="1" applyBorder="1" applyAlignment="1">
      <alignment horizontal="center"/>
    </xf>
    <xf numFmtId="0" fontId="35" fillId="11" borderId="76" xfId="0" applyFont="1" applyFill="1" applyBorder="1" applyAlignment="1">
      <alignment horizontal="center"/>
    </xf>
    <xf numFmtId="0" fontId="35" fillId="11" borderId="81" xfId="0" applyFont="1" applyFill="1" applyBorder="1" applyAlignment="1">
      <alignment horizontal="left"/>
    </xf>
    <xf numFmtId="165" fontId="38" fillId="11" borderId="29" xfId="0" applyNumberFormat="1" applyFont="1" applyFill="1" applyBorder="1" applyAlignment="1">
      <alignment horizontal="center"/>
    </xf>
    <xf numFmtId="9" fontId="38" fillId="11" borderId="29" xfId="1" applyFont="1" applyFill="1" applyBorder="1" applyAlignment="1">
      <alignment horizontal="center"/>
    </xf>
    <xf numFmtId="3" fontId="38" fillId="11" borderId="29" xfId="0" applyNumberFormat="1" applyFont="1" applyFill="1" applyBorder="1" applyAlignment="1">
      <alignment horizontal="center"/>
    </xf>
    <xf numFmtId="165" fontId="35" fillId="11" borderId="23" xfId="0" applyNumberFormat="1" applyFont="1" applyFill="1" applyBorder="1" applyAlignment="1">
      <alignment horizontal="center"/>
    </xf>
    <xf numFmtId="3" fontId="35" fillId="11" borderId="28" xfId="0" applyNumberFormat="1" applyFont="1" applyFill="1" applyBorder="1" applyAlignment="1">
      <alignment horizontal="center"/>
    </xf>
    <xf numFmtId="1" fontId="31" fillId="0" borderId="0" xfId="0" applyNumberFormat="1" applyFont="1" applyAlignment="1">
      <alignment horizontal="left"/>
    </xf>
    <xf numFmtId="6" fontId="31" fillId="0" borderId="0" xfId="0" applyNumberFormat="1" applyFont="1" applyAlignment="1">
      <alignment horizontal="center"/>
    </xf>
    <xf numFmtId="164" fontId="31" fillId="0" borderId="0" xfId="0" applyNumberFormat="1" applyFont="1" applyAlignment="1">
      <alignment horizontal="left"/>
    </xf>
    <xf numFmtId="164" fontId="35" fillId="11" borderId="56" xfId="0" applyNumberFormat="1" applyFont="1" applyFill="1" applyBorder="1" applyAlignment="1">
      <alignment horizontal="center"/>
    </xf>
    <xf numFmtId="14" fontId="38" fillId="15" borderId="28" xfId="0" applyNumberFormat="1" applyFont="1" applyFill="1" applyBorder="1" applyAlignment="1">
      <alignment horizontal="center"/>
    </xf>
    <xf numFmtId="0" fontId="35" fillId="16" borderId="50" xfId="0" applyFont="1" applyFill="1" applyBorder="1" applyAlignment="1">
      <alignment horizontal="center"/>
    </xf>
    <xf numFmtId="14" fontId="35" fillId="16" borderId="28" xfId="0" applyNumberFormat="1" applyFont="1" applyFill="1" applyBorder="1" applyAlignment="1">
      <alignment horizontal="center"/>
    </xf>
    <xf numFmtId="0" fontId="35" fillId="16" borderId="28" xfId="0" applyFont="1" applyFill="1" applyBorder="1" applyAlignment="1">
      <alignment horizontal="center"/>
    </xf>
    <xf numFmtId="164" fontId="35" fillId="16" borderId="28" xfId="0" applyNumberFormat="1" applyFont="1" applyFill="1" applyBorder="1" applyAlignment="1">
      <alignment horizontal="center"/>
    </xf>
    <xf numFmtId="0" fontId="40" fillId="11" borderId="28" xfId="0" applyFont="1" applyFill="1" applyBorder="1" applyAlignment="1">
      <alignment horizontal="left"/>
    </xf>
    <xf numFmtId="0" fontId="40" fillId="2" borderId="28" xfId="0" applyFont="1" applyFill="1" applyBorder="1" applyAlignment="1">
      <alignment horizontal="left"/>
    </xf>
    <xf numFmtId="164" fontId="35" fillId="11" borderId="26" xfId="0" applyNumberFormat="1" applyFont="1" applyFill="1" applyBorder="1" applyAlignment="1">
      <alignment horizontal="center"/>
    </xf>
    <xf numFmtId="0" fontId="35" fillId="11" borderId="77" xfId="0" applyFont="1" applyFill="1" applyBorder="1" applyAlignment="1">
      <alignment horizontal="left"/>
    </xf>
    <xf numFmtId="0" fontId="35" fillId="11" borderId="78" xfId="0" applyFont="1" applyFill="1" applyBorder="1" applyAlignment="1">
      <alignment horizontal="left"/>
    </xf>
    <xf numFmtId="165" fontId="35" fillId="11" borderId="78" xfId="0" applyNumberFormat="1" applyFont="1" applyFill="1" applyBorder="1" applyAlignment="1">
      <alignment horizontal="center"/>
    </xf>
    <xf numFmtId="9" fontId="35" fillId="11" borderId="78" xfId="1" applyFont="1" applyFill="1" applyBorder="1" applyAlignment="1">
      <alignment horizontal="center"/>
    </xf>
    <xf numFmtId="3" fontId="31" fillId="0" borderId="87" xfId="0" applyNumberFormat="1" applyFont="1" applyBorder="1" applyAlignment="1">
      <alignment horizontal="center"/>
    </xf>
    <xf numFmtId="9" fontId="35" fillId="11" borderId="88" xfId="1" applyFont="1" applyFill="1" applyBorder="1" applyAlignment="1">
      <alignment horizontal="center"/>
    </xf>
    <xf numFmtId="0" fontId="35" fillId="11" borderId="75" xfId="0" applyFont="1" applyFill="1" applyBorder="1" applyAlignment="1">
      <alignment horizontal="center"/>
    </xf>
    <xf numFmtId="0" fontId="35" fillId="2" borderId="75" xfId="0" applyFont="1" applyFill="1" applyBorder="1" applyAlignment="1">
      <alignment horizontal="center"/>
    </xf>
    <xf numFmtId="164" fontId="35" fillId="2" borderId="26" xfId="0" applyNumberFormat="1" applyFont="1" applyFill="1" applyBorder="1" applyAlignment="1">
      <alignment horizontal="center"/>
    </xf>
    <xf numFmtId="9" fontId="35" fillId="11" borderId="25" xfId="1" applyFont="1" applyFill="1" applyBorder="1" applyAlignment="1">
      <alignment horizontal="center"/>
    </xf>
    <xf numFmtId="0" fontId="35" fillId="2" borderId="76" xfId="0" applyFont="1" applyFill="1" applyBorder="1" applyAlignment="1">
      <alignment horizontal="center"/>
    </xf>
    <xf numFmtId="167" fontId="40" fillId="11" borderId="28" xfId="1" applyNumberFormat="1" applyFont="1" applyFill="1" applyBorder="1" applyAlignment="1">
      <alignment horizontal="left"/>
    </xf>
    <xf numFmtId="0" fontId="40" fillId="0" borderId="0" xfId="0" applyFont="1" applyAlignment="1">
      <alignment horizontal="left"/>
    </xf>
    <xf numFmtId="0" fontId="40" fillId="11" borderId="22" xfId="0" applyFont="1" applyFill="1" applyBorder="1" applyAlignment="1">
      <alignment horizontal="left"/>
    </xf>
    <xf numFmtId="0" fontId="40" fillId="0" borderId="0" xfId="0" applyFont="1"/>
    <xf numFmtId="0" fontId="40" fillId="11" borderId="23" xfId="0" applyFont="1" applyFill="1" applyBorder="1" applyAlignment="1">
      <alignment horizontal="left"/>
    </xf>
    <xf numFmtId="0" fontId="32" fillId="11" borderId="0" xfId="0" applyFont="1" applyFill="1"/>
    <xf numFmtId="0" fontId="41" fillId="11" borderId="0" xfId="0" applyFont="1" applyFill="1" applyAlignment="1">
      <alignment horizontal="center"/>
    </xf>
    <xf numFmtId="0" fontId="32" fillId="11" borderId="0" xfId="0" applyFont="1" applyFill="1" applyAlignment="1">
      <alignment horizontal="center"/>
    </xf>
    <xf numFmtId="9" fontId="32" fillId="11" borderId="0" xfId="1" applyFont="1" applyFill="1" applyAlignment="1">
      <alignment horizontal="center"/>
    </xf>
    <xf numFmtId="14" fontId="32" fillId="11" borderId="0" xfId="0" applyNumberFormat="1" applyFont="1" applyFill="1" applyAlignment="1">
      <alignment horizontal="center"/>
    </xf>
    <xf numFmtId="164" fontId="32" fillId="11" borderId="0" xfId="0" applyNumberFormat="1" applyFont="1" applyFill="1" applyAlignment="1">
      <alignment horizontal="center"/>
    </xf>
    <xf numFmtId="0" fontId="34" fillId="14" borderId="30" xfId="0" applyFont="1" applyFill="1" applyBorder="1" applyAlignment="1">
      <alignment horizontal="center"/>
    </xf>
    <xf numFmtId="0" fontId="34" fillId="14" borderId="31" xfId="0" applyFont="1" applyFill="1" applyBorder="1" applyAlignment="1">
      <alignment horizontal="center"/>
    </xf>
    <xf numFmtId="9" fontId="34" fillId="14" borderId="31" xfId="1" applyFont="1" applyFill="1" applyBorder="1" applyAlignment="1">
      <alignment horizontal="center"/>
    </xf>
    <xf numFmtId="14" fontId="34" fillId="14" borderId="31" xfId="0" applyNumberFormat="1" applyFont="1" applyFill="1" applyBorder="1" applyAlignment="1">
      <alignment horizontal="center"/>
    </xf>
    <xf numFmtId="164" fontId="34" fillId="14" borderId="0" xfId="0" applyNumberFormat="1" applyFont="1" applyFill="1" applyAlignment="1">
      <alignment horizontal="center"/>
    </xf>
    <xf numFmtId="0" fontId="34" fillId="14" borderId="32" xfId="0" applyFont="1" applyFill="1" applyBorder="1" applyAlignment="1">
      <alignment horizontal="center"/>
    </xf>
    <xf numFmtId="14" fontId="34" fillId="14" borderId="0" xfId="0" applyNumberFormat="1" applyFont="1" applyFill="1" applyAlignment="1">
      <alignment horizontal="center"/>
    </xf>
    <xf numFmtId="0" fontId="32" fillId="2" borderId="0" xfId="0" applyFont="1" applyFill="1"/>
    <xf numFmtId="9" fontId="32" fillId="2" borderId="0" xfId="1" applyFont="1" applyFill="1" applyAlignment="1">
      <alignment horizontal="center"/>
    </xf>
    <xf numFmtId="164" fontId="32" fillId="2" borderId="0" xfId="0" applyNumberFormat="1" applyFont="1" applyFill="1" applyAlignment="1">
      <alignment horizontal="center"/>
    </xf>
    <xf numFmtId="0" fontId="42" fillId="2" borderId="1" xfId="0" applyFont="1" applyFill="1" applyBorder="1" applyAlignment="1">
      <alignment horizontal="center"/>
    </xf>
    <xf numFmtId="0" fontId="43" fillId="2" borderId="1" xfId="0" applyFont="1" applyFill="1" applyBorder="1" applyAlignment="1">
      <alignment horizontal="center"/>
    </xf>
    <xf numFmtId="9" fontId="43" fillId="2" borderId="1" xfId="1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14" fontId="43" fillId="2" borderId="0" xfId="0" applyNumberFormat="1" applyFont="1" applyFill="1" applyAlignment="1">
      <alignment horizontal="center"/>
    </xf>
    <xf numFmtId="0" fontId="33" fillId="2" borderId="7" xfId="0" applyFont="1" applyFill="1" applyBorder="1" applyAlignment="1">
      <alignment horizontal="right"/>
    </xf>
    <xf numFmtId="9" fontId="36" fillId="2" borderId="0" xfId="1" applyFont="1" applyFill="1" applyAlignment="1">
      <alignment horizontal="center"/>
    </xf>
    <xf numFmtId="0" fontId="36" fillId="2" borderId="0" xfId="1" applyNumberFormat="1" applyFont="1" applyFill="1" applyAlignment="1">
      <alignment horizontal="center"/>
    </xf>
    <xf numFmtId="14" fontId="36" fillId="2" borderId="0" xfId="1" applyNumberFormat="1" applyFont="1" applyFill="1" applyAlignment="1">
      <alignment horizontal="center"/>
    </xf>
    <xf numFmtId="0" fontId="33" fillId="2" borderId="0" xfId="0" applyFont="1" applyFill="1" applyAlignment="1">
      <alignment horizontal="right"/>
    </xf>
    <xf numFmtId="0" fontId="31" fillId="2" borderId="33" xfId="0" applyFont="1" applyFill="1" applyBorder="1" applyAlignment="1">
      <alignment horizontal="center"/>
    </xf>
    <xf numFmtId="9" fontId="31" fillId="2" borderId="0" xfId="1" applyFont="1" applyFill="1" applyBorder="1" applyAlignment="1">
      <alignment horizontal="center"/>
    </xf>
    <xf numFmtId="0" fontId="43" fillId="2" borderId="0" xfId="0" applyFont="1" applyFill="1"/>
    <xf numFmtId="0" fontId="31" fillId="2" borderId="38" xfId="0" applyFont="1" applyFill="1" applyBorder="1" applyAlignment="1">
      <alignment horizontal="center"/>
    </xf>
    <xf numFmtId="0" fontId="43" fillId="2" borderId="12" xfId="0" applyFont="1" applyFill="1" applyBorder="1" applyAlignment="1">
      <alignment horizontal="center"/>
    </xf>
    <xf numFmtId="0" fontId="31" fillId="2" borderId="21" xfId="0" applyFont="1" applyFill="1" applyBorder="1" applyAlignment="1">
      <alignment horizontal="center"/>
    </xf>
    <xf numFmtId="9" fontId="31" fillId="2" borderId="21" xfId="1" applyFont="1" applyFill="1" applyBorder="1" applyAlignment="1">
      <alignment horizontal="center"/>
    </xf>
    <xf numFmtId="9" fontId="36" fillId="2" borderId="21" xfId="0" applyNumberFormat="1" applyFont="1" applyFill="1" applyBorder="1" applyAlignment="1">
      <alignment horizontal="center"/>
    </xf>
    <xf numFmtId="14" fontId="36" fillId="2" borderId="0" xfId="0" applyNumberFormat="1" applyFont="1" applyFill="1" applyAlignment="1">
      <alignment horizontal="center"/>
    </xf>
    <xf numFmtId="0" fontId="44" fillId="2" borderId="0" xfId="0" applyFont="1" applyFill="1" applyAlignment="1">
      <alignment horizontal="right"/>
    </xf>
    <xf numFmtId="0" fontId="31" fillId="2" borderId="0" xfId="0" applyFont="1" applyFill="1" applyAlignment="1">
      <alignment horizontal="right"/>
    </xf>
    <xf numFmtId="0" fontId="31" fillId="2" borderId="39" xfId="0" applyFont="1" applyFill="1" applyBorder="1" applyAlignment="1">
      <alignment horizontal="right"/>
    </xf>
    <xf numFmtId="0" fontId="31" fillId="2" borderId="39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45" fillId="2" borderId="0" xfId="0" applyFont="1" applyFill="1" applyAlignment="1">
      <alignment horizontal="right"/>
    </xf>
    <xf numFmtId="9" fontId="31" fillId="0" borderId="0" xfId="1" applyFont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4" borderId="27" xfId="0" applyFont="1" applyFill="1" applyBorder="1" applyAlignment="1">
      <alignment horizontal="center"/>
    </xf>
    <xf numFmtId="0" fontId="34" fillId="14" borderId="40" xfId="0" applyFont="1" applyFill="1" applyBorder="1" applyAlignment="1">
      <alignment horizontal="center"/>
    </xf>
    <xf numFmtId="0" fontId="34" fillId="14" borderId="41" xfId="0" applyFont="1" applyFill="1" applyBorder="1" applyAlignment="1">
      <alignment horizontal="center"/>
    </xf>
    <xf numFmtId="0" fontId="34" fillId="14" borderId="91" xfId="0" applyFont="1" applyFill="1" applyBorder="1" applyAlignment="1">
      <alignment horizontal="center"/>
    </xf>
    <xf numFmtId="0" fontId="34" fillId="14" borderId="43" xfId="0" applyFont="1" applyFill="1" applyBorder="1" applyAlignment="1">
      <alignment horizontal="center"/>
    </xf>
    <xf numFmtId="0" fontId="34" fillId="14" borderId="44" xfId="0" applyFont="1" applyFill="1" applyBorder="1" applyAlignment="1">
      <alignment horizontal="center"/>
    </xf>
    <xf numFmtId="0" fontId="34" fillId="14" borderId="42" xfId="0" applyFont="1" applyFill="1" applyBorder="1" applyAlignment="1">
      <alignment horizontal="center"/>
    </xf>
    <xf numFmtId="0" fontId="34" fillId="14" borderId="47" xfId="0" applyFont="1" applyFill="1" applyBorder="1" applyAlignment="1">
      <alignment horizontal="center"/>
    </xf>
    <xf numFmtId="0" fontId="34" fillId="14" borderId="4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9" fillId="7" borderId="10" xfId="0" applyFont="1" applyFill="1" applyBorder="1" applyAlignment="1">
      <alignment horizontal="left"/>
    </xf>
    <xf numFmtId="0" fontId="9" fillId="7" borderId="19" xfId="0" applyFont="1" applyFill="1" applyBorder="1" applyAlignment="1">
      <alignment horizontal="left"/>
    </xf>
    <xf numFmtId="0" fontId="9" fillId="7" borderId="15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0" fontId="21" fillId="10" borderId="1" xfId="0" applyFont="1" applyFill="1" applyBorder="1" applyAlignment="1">
      <alignment horizontal="center"/>
    </xf>
    <xf numFmtId="0" fontId="12" fillId="12" borderId="25" xfId="0" applyFont="1" applyFill="1" applyBorder="1" applyAlignment="1">
      <alignment horizontal="center"/>
    </xf>
    <xf numFmtId="0" fontId="12" fillId="12" borderId="26" xfId="0" applyFont="1" applyFill="1" applyBorder="1" applyAlignment="1">
      <alignment horizontal="center"/>
    </xf>
    <xf numFmtId="0" fontId="12" fillId="12" borderId="31" xfId="0" applyFont="1" applyFill="1" applyBorder="1" applyAlignment="1">
      <alignment horizontal="center"/>
    </xf>
    <xf numFmtId="0" fontId="12" fillId="12" borderId="32" xfId="0" applyFont="1" applyFill="1" applyBorder="1" applyAlignment="1">
      <alignment horizontal="center"/>
    </xf>
    <xf numFmtId="0" fontId="34" fillId="14" borderId="48" xfId="0" applyFont="1" applyFill="1" applyBorder="1"/>
    <xf numFmtId="0" fontId="39" fillId="13" borderId="40" xfId="0" applyFont="1" applyFill="1" applyBorder="1" applyAlignment="1">
      <alignment horizontal="center"/>
    </xf>
    <xf numFmtId="0" fontId="35" fillId="2" borderId="26" xfId="0" applyFont="1" applyFill="1" applyBorder="1" applyAlignment="1">
      <alignment horizontal="center"/>
    </xf>
    <xf numFmtId="0" fontId="35" fillId="11" borderId="26" xfId="0" applyFont="1" applyFill="1" applyBorder="1" applyAlignment="1">
      <alignment horizontal="center"/>
    </xf>
    <xf numFmtId="0" fontId="38" fillId="11" borderId="96" xfId="0" applyFont="1" applyFill="1" applyBorder="1" applyAlignment="1">
      <alignment horizontal="center"/>
    </xf>
    <xf numFmtId="0" fontId="30" fillId="14" borderId="0" xfId="0" applyFont="1" applyFill="1" applyBorder="1"/>
    <xf numFmtId="0" fontId="30" fillId="2" borderId="0" xfId="0" applyFont="1" applyFill="1" applyBorder="1"/>
    <xf numFmtId="9" fontId="30" fillId="2" borderId="0" xfId="1" applyFont="1" applyFill="1" applyBorder="1"/>
    <xf numFmtId="0" fontId="31" fillId="2" borderId="0" xfId="0" applyFont="1" applyFill="1" applyBorder="1" applyAlignment="1">
      <alignment horizontal="center"/>
    </xf>
    <xf numFmtId="0" fontId="34" fillId="14" borderId="97" xfId="0" applyFont="1" applyFill="1" applyBorder="1" applyAlignment="1">
      <alignment horizontal="center"/>
    </xf>
    <xf numFmtId="0" fontId="34" fillId="14" borderId="98" xfId="0" applyFont="1" applyFill="1" applyBorder="1" applyAlignment="1">
      <alignment horizontal="center"/>
    </xf>
    <xf numFmtId="0" fontId="35" fillId="11" borderId="99" xfId="0" applyFont="1" applyFill="1" applyBorder="1" applyAlignment="1">
      <alignment horizontal="center"/>
    </xf>
    <xf numFmtId="167" fontId="31" fillId="2" borderId="0" xfId="1" applyNumberFormat="1" applyFont="1" applyFill="1" applyBorder="1" applyAlignment="1">
      <alignment horizontal="center"/>
    </xf>
    <xf numFmtId="0" fontId="36" fillId="2" borderId="0" xfId="0" applyFont="1" applyFill="1" applyBorder="1" applyAlignment="1">
      <alignment horizontal="center"/>
    </xf>
    <xf numFmtId="14" fontId="31" fillId="2" borderId="0" xfId="0" applyNumberFormat="1" applyFont="1" applyFill="1" applyBorder="1" applyAlignment="1">
      <alignment horizontal="center"/>
    </xf>
    <xf numFmtId="164" fontId="31" fillId="2" borderId="0" xfId="0" applyNumberFormat="1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31" fillId="2" borderId="0" xfId="0" applyFont="1" applyFill="1" applyBorder="1"/>
    <xf numFmtId="168" fontId="31" fillId="2" borderId="0" xfId="0" applyNumberFormat="1" applyFont="1" applyFill="1" applyBorder="1" applyAlignment="1">
      <alignment horizontal="center"/>
    </xf>
    <xf numFmtId="166" fontId="31" fillId="2" borderId="0" xfId="0" applyNumberFormat="1" applyFont="1" applyFill="1" applyBorder="1" applyAlignment="1">
      <alignment horizontal="center"/>
    </xf>
    <xf numFmtId="14" fontId="35" fillId="16" borderId="54" xfId="0" applyNumberFormat="1" applyFont="1" applyFill="1" applyBorder="1" applyAlignment="1">
      <alignment horizontal="center"/>
    </xf>
    <xf numFmtId="14" fontId="35" fillId="16" borderId="52" xfId="0" applyNumberFormat="1" applyFont="1" applyFill="1" applyBorder="1" applyAlignment="1">
      <alignment horizontal="center"/>
    </xf>
    <xf numFmtId="0" fontId="35" fillId="16" borderId="54" xfId="0" applyFont="1" applyFill="1" applyBorder="1" applyAlignment="1">
      <alignment horizontal="center"/>
    </xf>
    <xf numFmtId="0" fontId="35" fillId="16" borderId="5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42E57"/>
      <color rgb="FFE9E8E5"/>
      <color rgb="FFA14545"/>
      <color rgb="FF0000FF"/>
      <color rgb="FFE2EFDA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Deals Underwritten</a:t>
            </a:r>
            <a:r>
              <a:rPr lang="en-US" baseline="0">
                <a:solidFill>
                  <a:sysClr val="windowText" lastClr="000000"/>
                </a:solidFill>
              </a:rPr>
              <a:t> by Region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6922834645669289"/>
          <c:y val="0.31263706620005832"/>
          <c:w val="0.28376574803149607"/>
          <c:h val="0.472942913385826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CE4-4ADF-B9AB-96CB5BB30A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4-4ADF-B9AB-96CB5BB30A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E4-4ADF-B9AB-96CB5BB30A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CE4-4ADF-B9AB-96CB5BB30A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4-4ADF-B9AB-96CB5BB30A75}"/>
              </c:ext>
            </c:extLst>
          </c:dPt>
          <c:dLbls>
            <c:dLbl>
              <c:idx val="0"/>
              <c:layout>
                <c:manualLayout>
                  <c:x val="4.1961942257217846E-2"/>
                  <c:y val="-3.22276902887139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E4-4ADF-B9AB-96CB5BB30A75}"/>
                </c:ext>
              </c:extLst>
            </c:dLbl>
            <c:dLbl>
              <c:idx val="1"/>
              <c:layout>
                <c:manualLayout>
                  <c:x val="0.10162040682414698"/>
                  <c:y val="-3.8892534266549801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E4-4ADF-B9AB-96CB5BB30A75}"/>
                </c:ext>
              </c:extLst>
            </c:dLbl>
            <c:dLbl>
              <c:idx val="2"/>
              <c:layout>
                <c:manualLayout>
                  <c:x val="7.4166776027996498E-2"/>
                  <c:y val="3.9966827063283757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E4-4ADF-B9AB-96CB5BB30A75}"/>
                </c:ext>
              </c:extLst>
            </c:dLbl>
            <c:dLbl>
              <c:idx val="3"/>
              <c:layout>
                <c:manualLayout>
                  <c:x val="-4.1673556430446193E-2"/>
                  <c:y val="-3.06794983960338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E4-4ADF-B9AB-96CB5BB30A75}"/>
                </c:ext>
              </c:extLst>
            </c:dLbl>
            <c:dLbl>
              <c:idx val="4"/>
              <c:layout>
                <c:manualLayout>
                  <c:x val="-6.6439304461942253E-2"/>
                  <c:y val="1.19134587343248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E4-4ADF-B9AB-96CB5BB30A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Regions!$E$2:$E$6</c:f>
              <c:strCache>
                <c:ptCount val="5"/>
                <c:pt idx="0">
                  <c:v>Northeast</c:v>
                </c:pt>
                <c:pt idx="1">
                  <c:v>Midwest</c:v>
                </c:pt>
                <c:pt idx="2">
                  <c:v>South</c:v>
                </c:pt>
                <c:pt idx="3">
                  <c:v>Mid-Atlantic</c:v>
                </c:pt>
                <c:pt idx="4">
                  <c:v>West</c:v>
                </c:pt>
              </c:strCache>
            </c:strRef>
          </c:cat>
          <c:val>
            <c:numRef>
              <c:f>Regions!$F$2:$F$6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99</c:v>
                </c:pt>
                <c:pt idx="3">
                  <c:v>48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4-4ADF-B9AB-96CB5BB30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</a:t>
            </a:r>
            <a:r>
              <a:rPr lang="en-US" baseline="0"/>
              <a:t> Targets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533945756780405"/>
          <c:y val="0.29874817731116948"/>
          <c:w val="0.29765463692038496"/>
          <c:h val="0.4960910615339749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5-40FF-8DB2-4AB90EE53B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5-40FF-8DB2-4AB90EE53B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2F5-40FF-8DB2-4AB90EE53B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5-40FF-8DB2-4AB90EE53B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2F5-40FF-8DB2-4AB90EE53B8F}"/>
              </c:ext>
            </c:extLst>
          </c:dPt>
          <c:dLbls>
            <c:dLbl>
              <c:idx val="0"/>
              <c:layout>
                <c:manualLayout>
                  <c:x val="0.10261745406824146"/>
                  <c:y val="-1.9203849518810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F5-40FF-8DB2-4AB90EE53B8F}"/>
                </c:ext>
              </c:extLst>
            </c:dLbl>
            <c:dLbl>
              <c:idx val="1"/>
              <c:layout>
                <c:manualLayout>
                  <c:x val="0.15280643044619421"/>
                  <c:y val="7.83796296296295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F5-40FF-8DB2-4AB90EE53B8F}"/>
                </c:ext>
              </c:extLst>
            </c:dLbl>
            <c:dLbl>
              <c:idx val="2"/>
              <c:layout>
                <c:manualLayout>
                  <c:x val="0.18043197725284341"/>
                  <c:y val="-3.94798046077573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F5-40FF-8DB2-4AB90EE53B8F}"/>
                </c:ext>
              </c:extLst>
            </c:dLbl>
            <c:dLbl>
              <c:idx val="3"/>
              <c:layout>
                <c:manualLayout>
                  <c:x val="-6.9532699037620299E-2"/>
                  <c:y val="3.56769466316710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2F5-40FF-8DB2-4AB90EE53B8F}"/>
                </c:ext>
              </c:extLst>
            </c:dLbl>
            <c:dLbl>
              <c:idx val="4"/>
              <c:layout>
                <c:manualLayout>
                  <c:x val="-0.10661603237095363"/>
                  <c:y val="1.110783027121609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F5-40FF-8DB2-4AB90EE53B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Regions!$R$2:$R$6</c:f>
              <c:strCache>
                <c:ptCount val="5"/>
                <c:pt idx="0">
                  <c:v>Northeast</c:v>
                </c:pt>
                <c:pt idx="1">
                  <c:v>Midwest</c:v>
                </c:pt>
                <c:pt idx="2">
                  <c:v>South</c:v>
                </c:pt>
                <c:pt idx="3">
                  <c:v>Mid-Atlantic</c:v>
                </c:pt>
                <c:pt idx="4">
                  <c:v>West</c:v>
                </c:pt>
              </c:strCache>
            </c:strRef>
          </c:cat>
          <c:val>
            <c:numRef>
              <c:f>Regions!$S$2:$S$6</c:f>
              <c:numCache>
                <c:formatCode>General</c:formatCode>
                <c:ptCount val="5"/>
                <c:pt idx="0">
                  <c:v>42</c:v>
                </c:pt>
                <c:pt idx="1">
                  <c:v>12</c:v>
                </c:pt>
                <c:pt idx="2">
                  <c:v>207</c:v>
                </c:pt>
                <c:pt idx="3">
                  <c:v>96</c:v>
                </c:pt>
                <c:pt idx="4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5-40FF-8DB2-4AB90EE53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247650</xdr:colOff>
      <xdr:row>1</xdr:row>
      <xdr:rowOff>47625</xdr:rowOff>
    </xdr:from>
    <xdr:to>
      <xdr:col>28</xdr:col>
      <xdr:colOff>552450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68E954-0EF4-C59D-6CBC-F5B743E64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247650</xdr:colOff>
      <xdr:row>17</xdr:row>
      <xdr:rowOff>66675</xdr:rowOff>
    </xdr:from>
    <xdr:to>
      <xdr:col>28</xdr:col>
      <xdr:colOff>552450</xdr:colOff>
      <xdr:row>31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4C1239-A9F1-694F-2B28-F0CE6147C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08D0-6E11-446D-B117-24A89CFA0F05}">
  <sheetPr>
    <pageSetUpPr autoPageBreaks="0"/>
  </sheetPr>
  <dimension ref="A1:AC222"/>
  <sheetViews>
    <sheetView zoomScale="90" zoomScaleNormal="90" workbookViewId="0">
      <pane xSplit="3" topLeftCell="G1" activePane="topRight" state="frozen"/>
      <selection pane="topRight" activeCell="C9" sqref="C9"/>
    </sheetView>
  </sheetViews>
  <sheetFormatPr defaultRowHeight="14.4" x14ac:dyDescent="0.3"/>
  <cols>
    <col min="1" max="1" width="19.109375" style="1" customWidth="1"/>
    <col min="2" max="2" width="17.5546875" style="1" customWidth="1"/>
    <col min="3" max="3" width="37.44140625" customWidth="1"/>
    <col min="4" max="4" width="20.33203125" style="1" customWidth="1"/>
    <col min="5" max="5" width="21" style="1" customWidth="1"/>
    <col min="6" max="7" width="15.44140625" style="1" customWidth="1"/>
    <col min="8" max="8" width="18.109375" style="1" customWidth="1"/>
    <col min="9" max="9" width="16.44140625" style="1" bestFit="1" customWidth="1"/>
    <col min="10" max="10" width="18.6640625" style="1" customWidth="1"/>
    <col min="11" max="14" width="23.88671875" style="1" customWidth="1"/>
    <col min="15" max="16" width="23.6640625" style="1" customWidth="1"/>
    <col min="17" max="17" width="182.44140625" style="15" customWidth="1"/>
    <col min="18" max="20" width="9.109375" style="16"/>
  </cols>
  <sheetData>
    <row r="1" spans="1:29" x14ac:dyDescent="0.3">
      <c r="A1" s="11">
        <f ca="1">TODAY()</f>
        <v>46116</v>
      </c>
    </row>
    <row r="2" spans="1:29" s="7" customFormat="1" ht="15.6" x14ac:dyDescent="0.3">
      <c r="C2" s="64" t="s">
        <v>0</v>
      </c>
      <c r="D2" s="64" t="s">
        <v>1</v>
      </c>
      <c r="E2" s="64" t="s">
        <v>2</v>
      </c>
      <c r="F2" s="64" t="s">
        <v>3</v>
      </c>
      <c r="G2" s="64" t="s">
        <v>4</v>
      </c>
      <c r="H2" s="64" t="s">
        <v>5</v>
      </c>
      <c r="I2" s="64" t="s">
        <v>6</v>
      </c>
      <c r="J2" s="64" t="s">
        <v>7</v>
      </c>
      <c r="K2" s="64" t="s">
        <v>8</v>
      </c>
      <c r="L2" s="64" t="s">
        <v>9</v>
      </c>
      <c r="M2" s="64" t="s">
        <v>10</v>
      </c>
      <c r="N2" s="64" t="s">
        <v>11</v>
      </c>
      <c r="O2" s="64" t="s">
        <v>12</v>
      </c>
      <c r="P2" s="119" t="s">
        <v>13</v>
      </c>
      <c r="Q2" s="120"/>
      <c r="R2" s="120"/>
      <c r="S2" s="120"/>
      <c r="T2" s="6"/>
      <c r="U2" s="6"/>
      <c r="V2" s="6"/>
    </row>
    <row r="3" spans="1:29" s="7" customForma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O3" s="6"/>
      <c r="P3" s="6"/>
      <c r="Q3" s="6"/>
    </row>
    <row r="4" spans="1:29" ht="21" x14ac:dyDescent="0.4">
      <c r="A4" s="13"/>
      <c r="B4" s="13"/>
      <c r="C4" s="12" t="s">
        <v>14</v>
      </c>
      <c r="D4" s="12"/>
      <c r="E4" s="12"/>
      <c r="F4" s="12"/>
      <c r="G4" s="12"/>
      <c r="H4" s="13"/>
      <c r="I4" s="13"/>
      <c r="J4" s="13"/>
      <c r="K4" s="13"/>
      <c r="L4" s="13"/>
      <c r="M4" s="31"/>
      <c r="N4" s="31"/>
      <c r="O4" s="32"/>
      <c r="P4" s="70"/>
      <c r="Q4" s="17" t="s">
        <v>15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9" x14ac:dyDescent="0.3">
      <c r="A5" s="23" t="s">
        <v>16</v>
      </c>
      <c r="B5" s="23" t="s">
        <v>17</v>
      </c>
      <c r="C5" s="23" t="s">
        <v>18</v>
      </c>
      <c r="D5" s="48" t="s">
        <v>19</v>
      </c>
      <c r="E5" s="48" t="s">
        <v>20</v>
      </c>
      <c r="F5" s="48" t="s">
        <v>21</v>
      </c>
      <c r="G5" s="48" t="s">
        <v>22</v>
      </c>
      <c r="H5" s="23" t="s">
        <v>1</v>
      </c>
      <c r="I5" s="23" t="s">
        <v>2</v>
      </c>
      <c r="J5" s="23" t="s">
        <v>23</v>
      </c>
      <c r="K5" s="23" t="s">
        <v>24</v>
      </c>
      <c r="L5" s="23" t="s">
        <v>25</v>
      </c>
      <c r="M5" s="23" t="s">
        <v>26</v>
      </c>
      <c r="N5" s="23" t="s">
        <v>27</v>
      </c>
      <c r="O5" s="23" t="s">
        <v>28</v>
      </c>
      <c r="P5" s="71" t="s">
        <v>10</v>
      </c>
      <c r="Q5" s="49" t="s">
        <v>12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9" x14ac:dyDescent="0.3">
      <c r="A6" s="1">
        <v>2024</v>
      </c>
      <c r="C6" s="8" t="s">
        <v>29</v>
      </c>
      <c r="D6" s="5"/>
      <c r="E6" s="10" t="str">
        <f t="shared" ref="E6:E15" ca="1" si="0">IFERROR(IF(C6="","",IF(($A$1-D6)&gt;45000,"Waiting on Info",$A$1-D6)),"")</f>
        <v>Waiting on Info</v>
      </c>
      <c r="F6" s="5" t="str">
        <f>IF(D6="","TBD",10+D6)</f>
        <v>TBD</v>
      </c>
      <c r="G6" s="10" t="str">
        <f t="shared" ref="G6:G19" ca="1" si="1">IFERROR(IF(F6="","",F6-$A$1),"n/a")</f>
        <v>n/a</v>
      </c>
      <c r="H6" s="1" t="s">
        <v>30</v>
      </c>
      <c r="I6" s="1" t="s">
        <v>31</v>
      </c>
      <c r="J6" s="1" t="s">
        <v>32</v>
      </c>
      <c r="K6" s="1">
        <v>127</v>
      </c>
      <c r="L6" s="14" t="s">
        <v>33</v>
      </c>
      <c r="M6" s="14">
        <v>7000000</v>
      </c>
      <c r="N6" s="102" t="str">
        <f>IFERROR(IF(AND(AND(L6&lt;&gt;"Market",L6&lt;&gt;"TBD"),M6&lt;&gt;"TBD"),M6/L6,""),"")</f>
        <v/>
      </c>
      <c r="O6" s="9" t="s">
        <v>34</v>
      </c>
      <c r="P6" s="79" t="s">
        <v>35</v>
      </c>
      <c r="Q6" s="22" t="s">
        <v>36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3">
      <c r="A7" s="1">
        <v>2023</v>
      </c>
      <c r="B7" s="1" t="s">
        <v>35</v>
      </c>
      <c r="C7" s="40" t="s">
        <v>37</v>
      </c>
      <c r="D7" s="5">
        <v>45681</v>
      </c>
      <c r="E7" s="10">
        <f t="shared" ca="1" si="0"/>
        <v>435</v>
      </c>
      <c r="F7" s="5">
        <v>45703</v>
      </c>
      <c r="G7" s="10">
        <f t="shared" ca="1" si="1"/>
        <v>-413</v>
      </c>
      <c r="H7" s="1" t="s">
        <v>38</v>
      </c>
      <c r="I7" s="14" t="s">
        <v>31</v>
      </c>
      <c r="J7" s="14" t="s">
        <v>32</v>
      </c>
      <c r="K7" s="1">
        <v>700</v>
      </c>
      <c r="L7" s="14">
        <v>50000000</v>
      </c>
      <c r="M7" s="14">
        <v>15000000</v>
      </c>
      <c r="N7" s="102">
        <f>IFERROR(IF(AND(AND(L7&lt;&gt;"Market",L7&lt;&gt;"TBD"),M7&lt;&gt;"TBD"),M7/L7,""),"")</f>
        <v>0.3</v>
      </c>
      <c r="O7" s="9" t="s">
        <v>39</v>
      </c>
      <c r="P7" s="75" t="s">
        <v>35</v>
      </c>
      <c r="Q7" s="94" t="s">
        <v>40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1:29" x14ac:dyDescent="0.3">
      <c r="A8" s="1">
        <v>2025</v>
      </c>
      <c r="B8" s="1" t="s">
        <v>35</v>
      </c>
      <c r="C8" s="40" t="s">
        <v>41</v>
      </c>
      <c r="D8" s="5">
        <v>45686</v>
      </c>
      <c r="E8" s="10">
        <f t="shared" ca="1" si="0"/>
        <v>430</v>
      </c>
      <c r="F8" s="5" t="s">
        <v>42</v>
      </c>
      <c r="G8" s="10" t="str">
        <f t="shared" ca="1" si="1"/>
        <v>n/a</v>
      </c>
      <c r="H8" s="1" t="s">
        <v>43</v>
      </c>
      <c r="I8" s="14" t="s">
        <v>31</v>
      </c>
      <c r="J8" s="14" t="s">
        <v>32</v>
      </c>
      <c r="K8" s="1">
        <v>220</v>
      </c>
      <c r="L8" s="14">
        <v>25000000</v>
      </c>
      <c r="M8" s="14" t="s">
        <v>42</v>
      </c>
      <c r="N8" s="102" t="str">
        <f>IFERROR(IF(AND(AND(L8&lt;&gt;"Market",L8&lt;&gt;"TBD"),M8&lt;&gt;"TBD"),M8/L8,""),"")</f>
        <v/>
      </c>
      <c r="O8" s="9" t="s">
        <v>44</v>
      </c>
      <c r="P8" s="115" t="s">
        <v>35</v>
      </c>
      <c r="Q8" s="8" t="s">
        <v>45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9" x14ac:dyDescent="0.3">
      <c r="A9" s="1">
        <v>2024</v>
      </c>
      <c r="B9" s="1" t="s">
        <v>35</v>
      </c>
      <c r="C9" s="8" t="s">
        <v>46</v>
      </c>
      <c r="D9" s="5">
        <v>45531</v>
      </c>
      <c r="E9" s="10">
        <f t="shared" ca="1" si="0"/>
        <v>585</v>
      </c>
      <c r="F9" s="5" t="s">
        <v>42</v>
      </c>
      <c r="G9" s="10" t="str">
        <f t="shared" ca="1" si="1"/>
        <v>n/a</v>
      </c>
      <c r="H9" s="1" t="s">
        <v>47</v>
      </c>
      <c r="I9" s="1" t="s">
        <v>31</v>
      </c>
      <c r="J9" s="1" t="s">
        <v>48</v>
      </c>
      <c r="K9" s="1">
        <v>50</v>
      </c>
      <c r="L9" s="14">
        <v>24500000</v>
      </c>
      <c r="M9" s="14">
        <v>21000000</v>
      </c>
      <c r="N9" s="102">
        <f>IFERROR(IF(AND(AND(L9&lt;&gt;"Market",L9&lt;&gt;"TBD"),M9&lt;&gt;"TBD"),M9/L9,""),"")</f>
        <v>0.8571428571428571</v>
      </c>
      <c r="O9" s="9" t="s">
        <v>34</v>
      </c>
      <c r="P9" s="83" t="s">
        <v>35</v>
      </c>
      <c r="Q9" s="22" t="s">
        <v>49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9" x14ac:dyDescent="0.3">
      <c r="A10" s="1">
        <v>2025</v>
      </c>
      <c r="B10" s="1" t="s">
        <v>35</v>
      </c>
      <c r="C10" s="8" t="s">
        <v>50</v>
      </c>
      <c r="D10" s="5">
        <v>45720</v>
      </c>
      <c r="E10" s="10">
        <f t="shared" ca="1" si="0"/>
        <v>396</v>
      </c>
      <c r="F10" s="5" t="s">
        <v>51</v>
      </c>
      <c r="G10" s="10" t="str">
        <f t="shared" ca="1" si="1"/>
        <v>n/a</v>
      </c>
      <c r="H10" s="1" t="s">
        <v>52</v>
      </c>
      <c r="I10" s="1" t="s">
        <v>53</v>
      </c>
      <c r="J10" s="1" t="s">
        <v>48</v>
      </c>
      <c r="K10" s="1">
        <v>118</v>
      </c>
      <c r="L10" s="14">
        <v>55000000</v>
      </c>
      <c r="M10" s="14" t="s">
        <v>42</v>
      </c>
      <c r="N10" s="102"/>
      <c r="O10" s="117" t="s">
        <v>44</v>
      </c>
      <c r="P10" s="83" t="s">
        <v>35</v>
      </c>
      <c r="Q10" s="22" t="s">
        <v>54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9" x14ac:dyDescent="0.3">
      <c r="A11" s="1">
        <v>2024</v>
      </c>
      <c r="B11" s="1" t="s">
        <v>35</v>
      </c>
      <c r="C11" s="8" t="s">
        <v>55</v>
      </c>
      <c r="D11" s="5">
        <v>45456</v>
      </c>
      <c r="E11" s="10">
        <f t="shared" ca="1" si="0"/>
        <v>660</v>
      </c>
      <c r="F11" s="5" t="s">
        <v>51</v>
      </c>
      <c r="G11" s="10" t="str">
        <f t="shared" ca="1" si="1"/>
        <v>n/a</v>
      </c>
      <c r="H11" s="1" t="s">
        <v>56</v>
      </c>
      <c r="I11" s="1" t="s">
        <v>57</v>
      </c>
      <c r="J11" s="1" t="s">
        <v>32</v>
      </c>
      <c r="K11" s="1">
        <v>857</v>
      </c>
      <c r="L11" s="14">
        <v>115000000</v>
      </c>
      <c r="M11" s="14">
        <v>85000000</v>
      </c>
      <c r="N11" s="102">
        <f>IFERROR(IF(AND(AND(L11&lt;&gt;"Market",L11&lt;&gt;"TBD"),M11&lt;&gt;"TBD"),M11/L11,""),"")</f>
        <v>0.73913043478260865</v>
      </c>
      <c r="O11" s="117" t="s">
        <v>44</v>
      </c>
      <c r="P11" s="83" t="s">
        <v>35</v>
      </c>
      <c r="Q11" s="22" t="s">
        <v>58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1:29" x14ac:dyDescent="0.3">
      <c r="A12" s="1">
        <v>2023</v>
      </c>
      <c r="B12" s="1" t="s">
        <v>35</v>
      </c>
      <c r="C12" t="s">
        <v>59</v>
      </c>
      <c r="D12" s="5">
        <v>45713</v>
      </c>
      <c r="E12" s="10">
        <f t="shared" ca="1" si="0"/>
        <v>403</v>
      </c>
      <c r="F12" s="5" t="s">
        <v>51</v>
      </c>
      <c r="G12" s="10" t="str">
        <f t="shared" ca="1" si="1"/>
        <v>n/a</v>
      </c>
      <c r="H12" s="14" t="s">
        <v>60</v>
      </c>
      <c r="I12" s="14" t="s">
        <v>61</v>
      </c>
      <c r="J12" s="5" t="s">
        <v>48</v>
      </c>
      <c r="K12" s="1">
        <v>111</v>
      </c>
      <c r="L12" s="14" t="s">
        <v>33</v>
      </c>
      <c r="M12" s="14">
        <v>11000000</v>
      </c>
      <c r="N12" s="102" t="str">
        <f>IFERROR(IF(AND(L12&lt;&gt;"Market",M12&lt;&gt;"TBD"),M12/L12,""),"")</f>
        <v/>
      </c>
      <c r="O12" s="117" t="s">
        <v>34</v>
      </c>
      <c r="P12" s="75" t="s">
        <v>35</v>
      </c>
      <c r="Q12" s="43" t="s">
        <v>62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x14ac:dyDescent="0.3">
      <c r="A13" s="1">
        <v>2025</v>
      </c>
      <c r="B13" s="1" t="s">
        <v>35</v>
      </c>
      <c r="C13" s="40" t="s">
        <v>63</v>
      </c>
      <c r="D13" s="5">
        <v>45686</v>
      </c>
      <c r="E13" s="10">
        <f t="shared" ca="1" si="0"/>
        <v>430</v>
      </c>
      <c r="F13" s="5">
        <v>45695</v>
      </c>
      <c r="G13" s="10">
        <f t="shared" ca="1" si="1"/>
        <v>-421</v>
      </c>
      <c r="H13" s="1" t="s">
        <v>64</v>
      </c>
      <c r="I13" s="14" t="s">
        <v>31</v>
      </c>
      <c r="J13" s="14" t="s">
        <v>32</v>
      </c>
      <c r="K13" s="1">
        <v>50</v>
      </c>
      <c r="L13" s="14">
        <v>40000000</v>
      </c>
      <c r="M13" s="14">
        <v>15000000</v>
      </c>
      <c r="N13" s="102">
        <f>IFERROR(IF(AND(AND(L13&lt;&gt;"Market",L13&lt;&gt;"TBD"),M13&lt;&gt;"TBD"),M13/L13,""),"")</f>
        <v>0.375</v>
      </c>
      <c r="O13" s="117" t="s">
        <v>44</v>
      </c>
      <c r="P13" s="115" t="s">
        <v>35</v>
      </c>
      <c r="Q13" s="8" t="s">
        <v>65</v>
      </c>
    </row>
    <row r="14" spans="1:29" x14ac:dyDescent="0.3">
      <c r="A14" s="1">
        <v>2025</v>
      </c>
      <c r="B14" s="1" t="s">
        <v>35</v>
      </c>
      <c r="C14" t="s">
        <v>66</v>
      </c>
      <c r="D14" s="1">
        <v>45715</v>
      </c>
      <c r="E14" s="1">
        <f t="shared" ca="1" si="0"/>
        <v>401</v>
      </c>
      <c r="F14" s="1">
        <v>45741</v>
      </c>
      <c r="G14" s="1">
        <f t="shared" ca="1" si="1"/>
        <v>-375</v>
      </c>
      <c r="H14" s="1" t="s">
        <v>67</v>
      </c>
      <c r="I14" s="1" t="s">
        <v>68</v>
      </c>
      <c r="J14" s="1" t="s">
        <v>32</v>
      </c>
      <c r="K14" s="1">
        <v>404</v>
      </c>
      <c r="L14" s="1">
        <v>15000000</v>
      </c>
      <c r="M14" s="1" t="s">
        <v>42</v>
      </c>
      <c r="O14" s="1" t="s">
        <v>44</v>
      </c>
      <c r="P14" s="80" t="s">
        <v>35</v>
      </c>
      <c r="Q14" s="183" t="s">
        <v>69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9" x14ac:dyDescent="0.3">
      <c r="A15" s="1">
        <v>2024</v>
      </c>
      <c r="B15" s="1" t="s">
        <v>35</v>
      </c>
      <c r="C15" s="8" t="s">
        <v>70</v>
      </c>
      <c r="D15" s="5">
        <v>45405</v>
      </c>
      <c r="E15" s="10">
        <f t="shared" ca="1" si="0"/>
        <v>711</v>
      </c>
      <c r="F15" s="1" t="s">
        <v>42</v>
      </c>
      <c r="G15" s="10" t="str">
        <f t="shared" ca="1" si="1"/>
        <v>n/a</v>
      </c>
      <c r="H15" s="1" t="s">
        <v>71</v>
      </c>
      <c r="I15" s="1" t="s">
        <v>72</v>
      </c>
      <c r="J15" s="1" t="s">
        <v>32</v>
      </c>
      <c r="K15" s="1">
        <f>172+120+90</f>
        <v>382</v>
      </c>
      <c r="L15" s="14">
        <v>35000000</v>
      </c>
      <c r="M15" s="14">
        <v>30000000</v>
      </c>
      <c r="N15" s="102">
        <f>IFERROR(IF(AND(AND(L15&lt;&gt;"Market",L15&lt;&gt;"TBD"),M15&lt;&gt;"TBD"),M15/L15,""),"")</f>
        <v>0.8571428571428571</v>
      </c>
      <c r="O15" s="117" t="s">
        <v>44</v>
      </c>
      <c r="P15" s="83" t="s">
        <v>35</v>
      </c>
      <c r="Q15" s="2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9" x14ac:dyDescent="0.3">
      <c r="A16" s="1">
        <v>2024</v>
      </c>
      <c r="B16" s="1" t="s">
        <v>35</v>
      </c>
      <c r="C16" s="7" t="s">
        <v>73</v>
      </c>
      <c r="D16" s="5">
        <v>45303</v>
      </c>
      <c r="E16" s="10">
        <f ca="1">IFERROR(IF(($A$1-D16)&gt;45000,"Waiting on Info",$A$1-D16),"")</f>
        <v>813</v>
      </c>
      <c r="F16" s="1" t="s">
        <v>51</v>
      </c>
      <c r="G16" s="10" t="str">
        <f t="shared" ca="1" si="1"/>
        <v>n/a</v>
      </c>
      <c r="H16" s="1" t="s">
        <v>74</v>
      </c>
      <c r="I16" s="1" t="s">
        <v>75</v>
      </c>
      <c r="J16" s="1" t="s">
        <v>48</v>
      </c>
      <c r="K16" s="1">
        <v>750</v>
      </c>
      <c r="L16" s="33">
        <v>40000000</v>
      </c>
      <c r="M16" s="33">
        <v>20000000</v>
      </c>
      <c r="N16" s="102">
        <f>IFERROR(IF(AND(AND(L16&lt;&gt;"Market",L16&lt;&gt;"TBD"),M16&lt;&gt;"TBD"),M16/L16,""),"")</f>
        <v>0.5</v>
      </c>
      <c r="O16" s="117" t="s">
        <v>44</v>
      </c>
      <c r="P16" s="83" t="s">
        <v>35</v>
      </c>
      <c r="Q16" s="44" t="s">
        <v>15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x14ac:dyDescent="0.3">
      <c r="A17" s="1">
        <v>2025</v>
      </c>
      <c r="B17" s="1" t="s">
        <v>35</v>
      </c>
      <c r="C17" s="40" t="s">
        <v>76</v>
      </c>
      <c r="D17" s="5">
        <v>45707</v>
      </c>
      <c r="E17" s="10">
        <f ca="1">IFERROR(IF(C17="","",IF(($A$1-D17)&gt;45000,"Waiting on Info",$A$1-D17)),"")</f>
        <v>409</v>
      </c>
      <c r="F17" s="5" t="s">
        <v>42</v>
      </c>
      <c r="G17" s="10" t="str">
        <f t="shared" ca="1" si="1"/>
        <v>n/a</v>
      </c>
      <c r="H17" s="1" t="s">
        <v>77</v>
      </c>
      <c r="I17" s="14" t="s">
        <v>31</v>
      </c>
      <c r="J17" s="14" t="s">
        <v>48</v>
      </c>
      <c r="K17" s="1">
        <v>89</v>
      </c>
      <c r="L17" s="14">
        <v>28000000</v>
      </c>
      <c r="M17" s="14" t="s">
        <v>42</v>
      </c>
      <c r="N17" s="102"/>
      <c r="O17" s="117" t="s">
        <v>44</v>
      </c>
      <c r="P17" s="116" t="s">
        <v>35</v>
      </c>
      <c r="Q17" s="8" t="s">
        <v>78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spans="1:29" x14ac:dyDescent="0.3">
      <c r="A18" s="1">
        <v>2025</v>
      </c>
      <c r="B18" s="1" t="s">
        <v>35</v>
      </c>
      <c r="C18" s="40" t="s">
        <v>79</v>
      </c>
      <c r="D18" s="5">
        <v>45686</v>
      </c>
      <c r="E18" s="10">
        <f ca="1">IFERROR(IF(C18="","",IF(($A$1-D18)&gt;45000,"Waiting on Info",$A$1-D18)),"")</f>
        <v>430</v>
      </c>
      <c r="F18" s="5">
        <v>45731</v>
      </c>
      <c r="G18" s="10">
        <f t="shared" ca="1" si="1"/>
        <v>-385</v>
      </c>
      <c r="H18" s="1" t="s">
        <v>80</v>
      </c>
      <c r="I18" s="14" t="s">
        <v>31</v>
      </c>
      <c r="J18" s="14" t="s">
        <v>32</v>
      </c>
      <c r="K18" s="1">
        <v>299</v>
      </c>
      <c r="L18" s="14">
        <v>25000000</v>
      </c>
      <c r="M18" s="14">
        <v>15000000</v>
      </c>
      <c r="N18" s="102">
        <f>IFERROR(IF(AND(AND(L18&lt;&gt;"Market",L18&lt;&gt;"TBD"),M18&lt;&gt;"TBD"),M18/L18,""),"")</f>
        <v>0.6</v>
      </c>
      <c r="O18" s="9" t="s">
        <v>39</v>
      </c>
      <c r="P18" s="115" t="s">
        <v>35</v>
      </c>
      <c r="Q18" s="8" t="s">
        <v>65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x14ac:dyDescent="0.3">
      <c r="A19" s="1">
        <v>2025</v>
      </c>
      <c r="B19" s="1" t="s">
        <v>35</v>
      </c>
      <c r="C19" s="40" t="s">
        <v>81</v>
      </c>
      <c r="D19" s="5">
        <v>45715</v>
      </c>
      <c r="E19" s="10">
        <f ca="1">IFERROR(IF(C19="","",IF(($A$1-D19)&gt;45000,"Waiting on Info",$A$1-D19)),"")</f>
        <v>401</v>
      </c>
      <c r="F19" s="5" t="s">
        <v>42</v>
      </c>
      <c r="G19" s="10" t="str">
        <f t="shared" ca="1" si="1"/>
        <v>n/a</v>
      </c>
      <c r="H19" s="1" t="s">
        <v>82</v>
      </c>
      <c r="I19" s="14" t="s">
        <v>31</v>
      </c>
      <c r="J19" s="14" t="s">
        <v>32</v>
      </c>
      <c r="L19" s="14">
        <v>11000000</v>
      </c>
      <c r="M19" s="14" t="s">
        <v>42</v>
      </c>
      <c r="N19" s="102"/>
      <c r="O19" s="117" t="s">
        <v>44</v>
      </c>
      <c r="P19" s="80" t="s">
        <v>35</v>
      </c>
      <c r="Q19" s="8" t="s">
        <v>83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9" x14ac:dyDescent="0.3">
      <c r="C20" s="8"/>
      <c r="D20" s="5"/>
      <c r="E20" s="10"/>
      <c r="G20" s="10"/>
      <c r="L20" s="14"/>
      <c r="M20" s="14"/>
      <c r="N20" s="102"/>
      <c r="O20" s="9"/>
      <c r="P20" s="83"/>
      <c r="Q20" s="22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9" x14ac:dyDescent="0.3">
      <c r="C21" s="8"/>
      <c r="E21" s="10"/>
      <c r="G21" s="10" t="str">
        <f>IFERROR(IF(F21="","",F21-$A$1),"n/a")</f>
        <v/>
      </c>
      <c r="L21" s="34"/>
      <c r="M21" s="34"/>
      <c r="N21" s="33"/>
      <c r="P21" s="84"/>
      <c r="Q21" s="46" t="s">
        <v>15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9" ht="15" thickBot="1" x14ac:dyDescent="0.35">
      <c r="A22" s="3"/>
      <c r="B22" s="3">
        <f>COUNTIF(B9:B21,"&lt;&gt;")</f>
        <v>11</v>
      </c>
      <c r="C22" s="3">
        <f>COUNTIF(C9:C21,"&lt;&gt;")</f>
        <v>11</v>
      </c>
      <c r="D22" s="3"/>
      <c r="E22" s="3"/>
      <c r="F22" s="3"/>
      <c r="G22" s="3"/>
      <c r="H22" s="3"/>
      <c r="I22" s="3"/>
      <c r="J22" s="3">
        <f>COUNTIF(J9:J21,"Off-Market")</f>
        <v>5</v>
      </c>
      <c r="K22" s="25">
        <f>SUM(K9:K21)</f>
        <v>3110</v>
      </c>
      <c r="L22" s="35">
        <f>SUM(L9:L21)</f>
        <v>388500000</v>
      </c>
      <c r="M22" s="35">
        <f>SUM(M9:M21)</f>
        <v>197000000</v>
      </c>
      <c r="N22" s="103">
        <f>IFERROR(AVERAGE(N158:N158),0)</f>
        <v>0</v>
      </c>
      <c r="O22" s="3">
        <f>COUNTIF(O9:O21,"&lt;&gt;")</f>
        <v>11</v>
      </c>
      <c r="P22" s="3"/>
      <c r="Q22" s="18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x14ac:dyDescent="0.3">
      <c r="A23" s="6">
        <f>COUNTIF($A$9:$A$21,"2023")</f>
        <v>1</v>
      </c>
      <c r="B23" s="51" t="s">
        <v>84</v>
      </c>
      <c r="C23" s="6"/>
      <c r="D23" s="6"/>
      <c r="E23" s="6"/>
      <c r="F23" s="6"/>
      <c r="G23" s="6"/>
      <c r="H23" s="6"/>
      <c r="I23" s="6"/>
      <c r="J23" s="52" t="s">
        <v>85</v>
      </c>
      <c r="K23" s="6"/>
      <c r="L23" s="6"/>
      <c r="M23" s="6"/>
      <c r="N23" s="6"/>
      <c r="O23" s="6"/>
      <c r="P23" s="6"/>
      <c r="Q23" s="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spans="1:29" s="7" customFormat="1" x14ac:dyDescent="0.3">
      <c r="A24" s="6">
        <f>COUNTIF($A$9:$A$21,"2024")</f>
        <v>4</v>
      </c>
      <c r="B24" s="51" t="s">
        <v>86</v>
      </c>
      <c r="C24" s="6"/>
      <c r="D24" s="6"/>
      <c r="E24" s="6"/>
      <c r="F24" s="6"/>
      <c r="G24" s="6"/>
      <c r="H24" s="6"/>
      <c r="I24" s="6"/>
      <c r="J24" s="5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9" x14ac:dyDescent="0.3">
      <c r="A25" s="6">
        <f>COUNTIF($A$9:$A$21,"2025")</f>
        <v>6</v>
      </c>
      <c r="B25" s="51" t="s">
        <v>87</v>
      </c>
      <c r="C25" s="6"/>
      <c r="D25" s="6"/>
      <c r="E25" s="6"/>
      <c r="F25" s="6"/>
      <c r="G25" s="6"/>
      <c r="H25" s="6"/>
      <c r="I25" s="6"/>
      <c r="J25" s="39"/>
      <c r="K25" s="7"/>
      <c r="L25" s="7"/>
      <c r="M25" s="7"/>
      <c r="N25" s="7"/>
      <c r="O25" s="6"/>
      <c r="P25" s="6"/>
      <c r="Q25" s="6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s="7" customFormat="1" x14ac:dyDescent="0.3">
      <c r="A26" s="1"/>
      <c r="B26" s="1"/>
      <c r="C26" s="6"/>
      <c r="D26" s="6"/>
      <c r="E26" s="6"/>
      <c r="F26" s="6"/>
      <c r="G26" s="6"/>
      <c r="H26" s="6"/>
      <c r="I26" s="6"/>
      <c r="J26" s="92"/>
      <c r="K26" s="6"/>
      <c r="L26" s="6"/>
      <c r="M26" s="6"/>
      <c r="N26" s="6"/>
      <c r="O26" s="6"/>
      <c r="P26" s="6"/>
      <c r="Q26" s="6"/>
    </row>
    <row r="27" spans="1:29" ht="21" x14ac:dyDescent="0.4">
      <c r="A27" s="13"/>
      <c r="B27" s="13"/>
      <c r="C27" s="12" t="s">
        <v>88</v>
      </c>
      <c r="D27" s="12"/>
      <c r="E27" s="12"/>
      <c r="F27" s="12"/>
      <c r="G27" s="12"/>
      <c r="H27" s="13"/>
      <c r="I27" s="13"/>
      <c r="J27" s="13"/>
      <c r="K27" s="12"/>
      <c r="L27" s="12"/>
      <c r="M27" s="12"/>
      <c r="N27" s="12"/>
      <c r="O27" s="20"/>
      <c r="P27" s="70"/>
      <c r="Q27" s="482" t="s">
        <v>12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spans="1:29" x14ac:dyDescent="0.3">
      <c r="A28" s="23" t="s">
        <v>16</v>
      </c>
      <c r="B28" s="23" t="s">
        <v>17</v>
      </c>
      <c r="C28" s="23" t="s">
        <v>18</v>
      </c>
      <c r="D28" s="23" t="s">
        <v>25</v>
      </c>
      <c r="E28" s="23" t="s">
        <v>89</v>
      </c>
      <c r="F28" s="23" t="s">
        <v>90</v>
      </c>
      <c r="G28" s="48" t="s">
        <v>91</v>
      </c>
      <c r="H28" s="23" t="s">
        <v>1</v>
      </c>
      <c r="I28" s="23" t="s">
        <v>2</v>
      </c>
      <c r="J28" s="23" t="s">
        <v>23</v>
      </c>
      <c r="K28" s="23" t="s">
        <v>24</v>
      </c>
      <c r="L28" s="23" t="s">
        <v>11</v>
      </c>
      <c r="M28" s="23" t="s">
        <v>9</v>
      </c>
      <c r="N28" s="23" t="s">
        <v>27</v>
      </c>
      <c r="O28" s="50" t="s">
        <v>28</v>
      </c>
      <c r="P28" s="71" t="s">
        <v>10</v>
      </c>
      <c r="Q28" s="483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9" x14ac:dyDescent="0.3">
      <c r="A29" s="1">
        <v>2024</v>
      </c>
      <c r="B29" s="1" t="s">
        <v>35</v>
      </c>
      <c r="C29" s="8" t="s">
        <v>92</v>
      </c>
      <c r="D29" s="14">
        <v>60000000</v>
      </c>
      <c r="E29" s="14">
        <v>62000000</v>
      </c>
      <c r="F29" s="5">
        <v>45712</v>
      </c>
      <c r="G29" s="10">
        <f ca="1">IFERROR(IF(F29="","",$A$1-F29),"n/a")</f>
        <v>404</v>
      </c>
      <c r="H29" s="1" t="s">
        <v>93</v>
      </c>
      <c r="I29" s="1" t="s">
        <v>94</v>
      </c>
      <c r="J29" s="1" t="s">
        <v>48</v>
      </c>
      <c r="K29" s="1">
        <f>550+85</f>
        <v>635</v>
      </c>
      <c r="L29" s="1">
        <v>55.16</v>
      </c>
      <c r="M29" s="19" t="s">
        <v>95</v>
      </c>
      <c r="N29" s="102">
        <f t="shared" ref="N29:N34" si="2">IF(AND(AND(D29&lt;&gt;"Market",D29&lt;&gt;"TBD"),E29&lt;&gt;"TBD"),E29/D29,"")</f>
        <v>1.0333333333333334</v>
      </c>
      <c r="O29" s="19" t="s">
        <v>96</v>
      </c>
      <c r="P29" s="83" t="s">
        <v>35</v>
      </c>
      <c r="Q29" s="22" t="s">
        <v>97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9" x14ac:dyDescent="0.3">
      <c r="A30" s="1">
        <v>2025</v>
      </c>
      <c r="B30" s="1" t="s">
        <v>35</v>
      </c>
      <c r="C30" s="8" t="s">
        <v>98</v>
      </c>
      <c r="D30" s="14">
        <v>21000000</v>
      </c>
      <c r="E30" s="14">
        <v>20000000</v>
      </c>
      <c r="F30" s="5">
        <v>45712</v>
      </c>
      <c r="G30" s="10">
        <f ca="1">IFERROR(IF(F30="","",F30-$A$1),"n/a")</f>
        <v>-404</v>
      </c>
      <c r="H30" s="1" t="s">
        <v>99</v>
      </c>
      <c r="I30" s="1" t="s">
        <v>75</v>
      </c>
      <c r="J30" s="1" t="s">
        <v>32</v>
      </c>
      <c r="K30" s="1">
        <v>130</v>
      </c>
      <c r="L30" s="14"/>
      <c r="M30" s="118" t="s">
        <v>100</v>
      </c>
      <c r="N30" s="102">
        <f t="shared" si="2"/>
        <v>0.95238095238095233</v>
      </c>
      <c r="O30" s="19" t="s">
        <v>96</v>
      </c>
      <c r="P30" s="83" t="s">
        <v>35</v>
      </c>
      <c r="Q30" s="22" t="s">
        <v>101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x14ac:dyDescent="0.3">
      <c r="A31" s="1">
        <v>2025</v>
      </c>
      <c r="B31" s="1" t="s">
        <v>35</v>
      </c>
      <c r="C31" s="40" t="s">
        <v>102</v>
      </c>
      <c r="D31" s="14">
        <v>20500000</v>
      </c>
      <c r="E31" s="14">
        <v>17000000</v>
      </c>
      <c r="F31" s="5">
        <v>45714</v>
      </c>
      <c r="G31" s="10">
        <f ca="1">IFERROR(IF(F31="","",F31-$A$1),"n/a")</f>
        <v>-402</v>
      </c>
      <c r="H31" s="1" t="s">
        <v>103</v>
      </c>
      <c r="I31" s="14" t="s">
        <v>31</v>
      </c>
      <c r="J31" s="14" t="s">
        <v>32</v>
      </c>
      <c r="K31" s="1">
        <v>270</v>
      </c>
      <c r="L31" s="14"/>
      <c r="M31" s="19" t="s">
        <v>100</v>
      </c>
      <c r="N31" s="102">
        <f t="shared" si="2"/>
        <v>0.82926829268292679</v>
      </c>
      <c r="O31" s="19" t="s">
        <v>96</v>
      </c>
      <c r="P31" s="116" t="s">
        <v>35</v>
      </c>
      <c r="Q31" s="8" t="s">
        <v>104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spans="1:29" x14ac:dyDescent="0.3">
      <c r="A32" s="1">
        <v>2024</v>
      </c>
      <c r="B32" s="1" t="s">
        <v>35</v>
      </c>
      <c r="C32" s="40" t="s">
        <v>105</v>
      </c>
      <c r="D32" s="14">
        <v>18500000</v>
      </c>
      <c r="E32" s="14">
        <v>16500000</v>
      </c>
      <c r="F32" s="5">
        <v>45721</v>
      </c>
      <c r="G32" s="10">
        <f ca="1">IFERROR(IF(F32="","",F32-$A$1),"n/a")</f>
        <v>-395</v>
      </c>
      <c r="H32" s="1" t="s">
        <v>106</v>
      </c>
      <c r="I32" s="14" t="s">
        <v>75</v>
      </c>
      <c r="J32" s="14" t="s">
        <v>48</v>
      </c>
      <c r="K32" s="1">
        <v>550</v>
      </c>
      <c r="L32" s="14"/>
      <c r="M32" s="19" t="s">
        <v>100</v>
      </c>
      <c r="N32" s="102">
        <f t="shared" si="2"/>
        <v>0.89189189189189189</v>
      </c>
      <c r="O32" s="19" t="s">
        <v>96</v>
      </c>
      <c r="P32" s="116" t="s">
        <v>35</v>
      </c>
      <c r="Q32" s="8" t="s">
        <v>107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9" x14ac:dyDescent="0.3">
      <c r="A33" s="1">
        <v>2023</v>
      </c>
      <c r="B33" s="1" t="s">
        <v>35</v>
      </c>
      <c r="C33" t="s">
        <v>108</v>
      </c>
      <c r="D33" s="14">
        <v>50000000</v>
      </c>
      <c r="E33" s="14">
        <v>26000000</v>
      </c>
      <c r="F33" s="1" t="s">
        <v>42</v>
      </c>
      <c r="G33" s="10" t="str">
        <f ca="1">IFERROR(IF(F33="","",$A$1-F33),"n/a")</f>
        <v>n/a</v>
      </c>
      <c r="H33" s="1" t="s">
        <v>109</v>
      </c>
      <c r="I33" s="1" t="s">
        <v>31</v>
      </c>
      <c r="J33" s="1" t="s">
        <v>48</v>
      </c>
      <c r="K33" s="1">
        <v>320</v>
      </c>
      <c r="L33" s="88">
        <v>2.71</v>
      </c>
      <c r="M33" s="19" t="s">
        <v>110</v>
      </c>
      <c r="N33" s="102">
        <f t="shared" si="2"/>
        <v>0.52</v>
      </c>
      <c r="O33" s="19" t="s">
        <v>111</v>
      </c>
      <c r="P33" s="83" t="s">
        <v>35</v>
      </c>
      <c r="Q33" s="44" t="s">
        <v>112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9" x14ac:dyDescent="0.3">
      <c r="A34" s="1">
        <v>2024</v>
      </c>
      <c r="C34" s="8" t="s">
        <v>113</v>
      </c>
      <c r="D34" s="14">
        <v>1400000</v>
      </c>
      <c r="E34" s="14">
        <v>1400000</v>
      </c>
      <c r="F34" s="1" t="s">
        <v>42</v>
      </c>
      <c r="G34" s="10" t="str">
        <f ca="1">IFERROR(IF(F34="","",$A$1-F34),"n/a")</f>
        <v>n/a</v>
      </c>
      <c r="H34" s="1" t="s">
        <v>114</v>
      </c>
      <c r="I34" s="1" t="s">
        <v>115</v>
      </c>
      <c r="J34" s="1" t="s">
        <v>48</v>
      </c>
      <c r="K34" s="1" t="s">
        <v>116</v>
      </c>
      <c r="L34" s="88">
        <v>1.5</v>
      </c>
      <c r="M34" s="19" t="s">
        <v>100</v>
      </c>
      <c r="N34" s="102">
        <f t="shared" si="2"/>
        <v>1</v>
      </c>
      <c r="O34" s="19" t="s">
        <v>117</v>
      </c>
      <c r="P34" s="83" t="s">
        <v>35</v>
      </c>
      <c r="Q34" s="47" t="s">
        <v>118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1:29" x14ac:dyDescent="0.3">
      <c r="C35" s="8"/>
      <c r="D35" s="5"/>
      <c r="E35" s="10"/>
      <c r="G35" s="1" t="str">
        <f>IFERROR(IF(F35="","",$A$1-F35),"n/a")</f>
        <v/>
      </c>
      <c r="M35" s="19"/>
      <c r="N35" s="102" t="str">
        <f>IFERROR(IF(AND(AND(D35&lt;&gt;"Market",D35&lt;&gt;"TBD"),E35&lt;&gt;"TBD"),E35/D35,""),"")</f>
        <v/>
      </c>
      <c r="O35" s="19"/>
      <c r="P35" s="82"/>
      <c r="Q35" s="47" t="s">
        <v>15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spans="1:29" ht="15" thickBot="1" x14ac:dyDescent="0.35">
      <c r="A36" s="3"/>
      <c r="B36" s="3">
        <f>COUNTIF(B29:B35,"&lt;&gt;")</f>
        <v>5</v>
      </c>
      <c r="C36" s="3">
        <f>COUNTIF(C29:C35,"&lt;&gt;")</f>
        <v>6</v>
      </c>
      <c r="D36" s="3"/>
      <c r="E36" s="36">
        <f>SUM(E29:E35)</f>
        <v>142900000</v>
      </c>
      <c r="F36" s="3"/>
      <c r="G36" s="3"/>
      <c r="H36" s="24"/>
      <c r="I36" s="3"/>
      <c r="J36" s="3">
        <f>COUNTIF(J29:J35,"Off-Market")</f>
        <v>4</v>
      </c>
      <c r="K36" s="25">
        <f>SUM(K29:K35)</f>
        <v>1905</v>
      </c>
      <c r="L36" s="25">
        <f>SUM(L29:L35)</f>
        <v>59.37</v>
      </c>
      <c r="M36" s="3"/>
      <c r="N36" s="103">
        <f>IFERROR(AVERAGE(N29:N34),0)</f>
        <v>0.87114574504818398</v>
      </c>
      <c r="O36" s="3"/>
      <c r="P36" s="3"/>
      <c r="Q36" s="29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x14ac:dyDescent="0.3">
      <c r="A37" s="6">
        <f>COUNTIF($A$29:$A$35,"2023")</f>
        <v>1</v>
      </c>
      <c r="B37" s="51" t="s">
        <v>84</v>
      </c>
      <c r="C37" s="6"/>
      <c r="D37" s="6"/>
      <c r="E37" s="6"/>
      <c r="F37" s="6"/>
      <c r="G37" s="6"/>
      <c r="H37" s="6"/>
      <c r="I37" s="6"/>
      <c r="J37" s="52" t="s">
        <v>85</v>
      </c>
      <c r="K37" s="6"/>
      <c r="L37" s="6"/>
      <c r="M37" s="6"/>
      <c r="N37" s="6"/>
      <c r="O37" s="6"/>
      <c r="P37" s="6"/>
      <c r="Q37" s="6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spans="1:29" s="7" customFormat="1" x14ac:dyDescent="0.3">
      <c r="A38" s="6">
        <f>COUNTIF($A$29:$A$35,"2024")</f>
        <v>3</v>
      </c>
      <c r="B38" s="51" t="s">
        <v>86</v>
      </c>
      <c r="C38" s="6"/>
      <c r="D38" s="6"/>
      <c r="E38" s="6"/>
      <c r="F38" s="6"/>
      <c r="G38" s="6"/>
      <c r="H38" s="6"/>
      <c r="I38" s="6"/>
      <c r="J38" s="5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spans="1:29" x14ac:dyDescent="0.3">
      <c r="A39" s="6">
        <f>COUNTIF($A$29:$A$35,"2025")</f>
        <v>2</v>
      </c>
      <c r="B39" s="51" t="s">
        <v>87</v>
      </c>
      <c r="C39" s="6"/>
      <c r="D39" s="6"/>
      <c r="E39" s="6"/>
      <c r="F39" s="6"/>
      <c r="G39" s="6"/>
      <c r="H39" s="6"/>
      <c r="I39" s="6"/>
      <c r="J39" s="39"/>
      <c r="K39" s="7"/>
      <c r="L39" s="7"/>
      <c r="M39" s="7"/>
      <c r="N39" s="7"/>
      <c r="O39" s="6"/>
      <c r="P39" s="6"/>
      <c r="Q39" s="6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spans="1:29" s="7" customFormat="1" x14ac:dyDescent="0.3">
      <c r="A40" s="1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29" ht="21" x14ac:dyDescent="0.4">
      <c r="A41" s="13"/>
      <c r="B41" s="13"/>
      <c r="C41" s="12" t="s">
        <v>119</v>
      </c>
      <c r="D41" s="12"/>
      <c r="E41" s="12"/>
      <c r="F41" s="12"/>
      <c r="G41" s="12"/>
      <c r="H41" s="13"/>
      <c r="I41" s="13"/>
      <c r="J41" s="13"/>
      <c r="K41" s="12"/>
      <c r="L41" s="12"/>
      <c r="M41" s="12"/>
      <c r="N41" s="12"/>
      <c r="O41" s="12"/>
      <c r="P41" s="70"/>
      <c r="Q41" s="482" t="s">
        <v>12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spans="1:29" x14ac:dyDescent="0.3">
      <c r="A42" s="23" t="s">
        <v>16</v>
      </c>
      <c r="B42" s="23" t="s">
        <v>17</v>
      </c>
      <c r="C42" s="23" t="s">
        <v>18</v>
      </c>
      <c r="D42" s="48" t="s">
        <v>19</v>
      </c>
      <c r="E42" s="48" t="s">
        <v>20</v>
      </c>
      <c r="F42" s="48" t="s">
        <v>21</v>
      </c>
      <c r="G42" s="48" t="s">
        <v>22</v>
      </c>
      <c r="H42" s="23" t="s">
        <v>1</v>
      </c>
      <c r="I42" s="23" t="s">
        <v>2</v>
      </c>
      <c r="J42" s="23" t="s">
        <v>23</v>
      </c>
      <c r="K42" s="23" t="s">
        <v>24</v>
      </c>
      <c r="L42" s="23" t="s">
        <v>25</v>
      </c>
      <c r="M42" s="23" t="s">
        <v>26</v>
      </c>
      <c r="N42" s="23" t="s">
        <v>27</v>
      </c>
      <c r="O42" s="23" t="s">
        <v>28</v>
      </c>
      <c r="P42" s="71" t="s">
        <v>10</v>
      </c>
      <c r="Q42" s="483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x14ac:dyDescent="0.3">
      <c r="A43" s="1">
        <v>2024</v>
      </c>
      <c r="C43" s="8" t="s">
        <v>120</v>
      </c>
      <c r="D43" s="5"/>
      <c r="E43" s="10" t="str">
        <f t="shared" ref="E43:E59" ca="1" si="3">IFERROR(IF(C43="","",IF(($A$1-D43)&gt;45000,"Waiting on Info",$A$1-D43)),"")</f>
        <v>Waiting on Info</v>
      </c>
      <c r="H43" s="1" t="s">
        <v>121</v>
      </c>
      <c r="I43" s="1" t="s">
        <v>122</v>
      </c>
      <c r="J43" s="1" t="s">
        <v>32</v>
      </c>
      <c r="K43" s="26"/>
      <c r="L43" s="26">
        <v>30000000</v>
      </c>
      <c r="M43" s="26" t="s">
        <v>42</v>
      </c>
      <c r="N43" s="102" t="str">
        <f t="shared" ref="N43:N67" si="4">IFERROR(IF(AND(AND(L43&lt;&gt;"Market",L43&lt;&gt;"TBD"),M43&lt;&gt;"TBD"),M43/L43,""),"")</f>
        <v/>
      </c>
      <c r="O43" s="14" t="s">
        <v>117</v>
      </c>
      <c r="P43" s="77" t="s">
        <v>35</v>
      </c>
      <c r="Q43" s="4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spans="1:29" x14ac:dyDescent="0.3">
      <c r="A44" s="1">
        <v>2023</v>
      </c>
      <c r="C44" t="s">
        <v>123</v>
      </c>
      <c r="E44" s="10" t="str">
        <f t="shared" ca="1" si="3"/>
        <v>Waiting on Info</v>
      </c>
      <c r="H44" s="1" t="s">
        <v>124</v>
      </c>
      <c r="I44" s="1" t="s">
        <v>31</v>
      </c>
      <c r="J44" s="1" t="s">
        <v>48</v>
      </c>
      <c r="L44" s="26">
        <v>10000000</v>
      </c>
      <c r="M44" s="26" t="s">
        <v>42</v>
      </c>
      <c r="N44" s="102" t="str">
        <f t="shared" si="4"/>
        <v/>
      </c>
      <c r="O44" s="14" t="s">
        <v>117</v>
      </c>
      <c r="P44" s="78"/>
      <c r="Q44" s="27" t="s">
        <v>125</v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x14ac:dyDescent="0.3">
      <c r="A45" s="1">
        <v>2024</v>
      </c>
      <c r="C45" t="s">
        <v>126</v>
      </c>
      <c r="E45" s="10" t="str">
        <f t="shared" ca="1" si="3"/>
        <v>Waiting on Info</v>
      </c>
      <c r="H45" s="1" t="s">
        <v>127</v>
      </c>
      <c r="I45" s="1" t="s">
        <v>122</v>
      </c>
      <c r="J45" s="1" t="s">
        <v>32</v>
      </c>
      <c r="L45" s="26">
        <v>30000000</v>
      </c>
      <c r="M45" s="26" t="s">
        <v>42</v>
      </c>
      <c r="N45" s="102" t="str">
        <f t="shared" si="4"/>
        <v/>
      </c>
      <c r="O45" s="14" t="s">
        <v>117</v>
      </c>
      <c r="P45" s="78" t="s">
        <v>35</v>
      </c>
      <c r="Q45" s="2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spans="1:29" x14ac:dyDescent="0.3">
      <c r="A46" s="1">
        <v>2024</v>
      </c>
      <c r="C46" t="s">
        <v>128</v>
      </c>
      <c r="D46" s="5"/>
      <c r="E46" s="10" t="str">
        <f t="shared" ca="1" si="3"/>
        <v>Waiting on Info</v>
      </c>
      <c r="H46" s="1" t="s">
        <v>129</v>
      </c>
      <c r="I46" s="1" t="s">
        <v>130</v>
      </c>
      <c r="J46" s="1" t="s">
        <v>48</v>
      </c>
      <c r="L46" s="26">
        <v>15000000</v>
      </c>
      <c r="M46" s="26" t="s">
        <v>42</v>
      </c>
      <c r="N46" s="102" t="str">
        <f t="shared" si="4"/>
        <v/>
      </c>
      <c r="O46" s="14" t="s">
        <v>117</v>
      </c>
      <c r="P46" s="78" t="s">
        <v>35</v>
      </c>
      <c r="Q46" s="27" t="s">
        <v>131</v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x14ac:dyDescent="0.3">
      <c r="A47" s="1">
        <v>2024</v>
      </c>
      <c r="C47" s="8" t="s">
        <v>132</v>
      </c>
      <c r="E47" s="10" t="str">
        <f t="shared" ca="1" si="3"/>
        <v>Waiting on Info</v>
      </c>
      <c r="H47" s="1" t="s">
        <v>133</v>
      </c>
      <c r="I47" s="1" t="s">
        <v>57</v>
      </c>
      <c r="J47" s="1" t="s">
        <v>32</v>
      </c>
      <c r="L47" s="26" t="s">
        <v>42</v>
      </c>
      <c r="M47" s="26" t="s">
        <v>42</v>
      </c>
      <c r="N47" s="102" t="str">
        <f t="shared" si="4"/>
        <v/>
      </c>
      <c r="O47" s="14" t="s">
        <v>117</v>
      </c>
      <c r="P47" s="78" t="s">
        <v>35</v>
      </c>
      <c r="Q47" s="27" t="s">
        <v>134</v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9" x14ac:dyDescent="0.3">
      <c r="A48" s="1">
        <v>2024</v>
      </c>
      <c r="B48" s="1" t="s">
        <v>35</v>
      </c>
      <c r="C48" t="s">
        <v>135</v>
      </c>
      <c r="D48" s="5">
        <v>45302</v>
      </c>
      <c r="E48" s="10">
        <f t="shared" ca="1" si="3"/>
        <v>814</v>
      </c>
      <c r="F48" s="5">
        <v>45343</v>
      </c>
      <c r="G48" s="5"/>
      <c r="H48" s="1" t="s">
        <v>136</v>
      </c>
      <c r="I48" s="1" t="s">
        <v>130</v>
      </c>
      <c r="J48" s="1" t="s">
        <v>48</v>
      </c>
      <c r="K48" s="14"/>
      <c r="L48" s="14">
        <v>12000000</v>
      </c>
      <c r="M48" s="14">
        <v>9000000</v>
      </c>
      <c r="N48" s="102">
        <f t="shared" si="4"/>
        <v>0.75</v>
      </c>
      <c r="O48" s="1" t="s">
        <v>137</v>
      </c>
      <c r="P48" s="79" t="s">
        <v>35</v>
      </c>
      <c r="Q48" s="27" t="s">
        <v>138</v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x14ac:dyDescent="0.3">
      <c r="A49" s="1">
        <v>2024</v>
      </c>
      <c r="C49" s="8" t="s">
        <v>139</v>
      </c>
      <c r="D49" s="5"/>
      <c r="E49" s="10" t="str">
        <f t="shared" ca="1" si="3"/>
        <v>Waiting on Info</v>
      </c>
      <c r="H49" s="1" t="s">
        <v>56</v>
      </c>
      <c r="I49" s="1" t="s">
        <v>57</v>
      </c>
      <c r="J49" s="1" t="s">
        <v>48</v>
      </c>
      <c r="L49" s="14">
        <v>30000000</v>
      </c>
      <c r="M49" s="14" t="s">
        <v>42</v>
      </c>
      <c r="N49" s="102" t="str">
        <f t="shared" si="4"/>
        <v/>
      </c>
      <c r="O49" s="14" t="s">
        <v>117</v>
      </c>
      <c r="P49" s="78" t="s">
        <v>35</v>
      </c>
      <c r="Q49" s="27" t="s">
        <v>140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spans="1:29" x14ac:dyDescent="0.3">
      <c r="A50" s="1">
        <v>2024</v>
      </c>
      <c r="B50" s="1" t="s">
        <v>35</v>
      </c>
      <c r="C50" s="8" t="s">
        <v>141</v>
      </c>
      <c r="D50" s="5">
        <v>45329</v>
      </c>
      <c r="E50" s="10">
        <f t="shared" ca="1" si="3"/>
        <v>787</v>
      </c>
      <c r="F50" s="5">
        <v>45343</v>
      </c>
      <c r="G50" s="5"/>
      <c r="H50" s="1" t="s">
        <v>129</v>
      </c>
      <c r="I50" s="1" t="s">
        <v>130</v>
      </c>
      <c r="J50" s="1" t="s">
        <v>48</v>
      </c>
      <c r="K50" s="14"/>
      <c r="L50" s="14" t="s">
        <v>33</v>
      </c>
      <c r="M50" s="14">
        <v>7500000</v>
      </c>
      <c r="N50" s="102" t="str">
        <f t="shared" si="4"/>
        <v/>
      </c>
      <c r="O50" s="1" t="s">
        <v>137</v>
      </c>
      <c r="P50" s="79"/>
      <c r="Q50" s="44" t="s">
        <v>142</v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x14ac:dyDescent="0.3">
      <c r="A51" s="1">
        <v>2024</v>
      </c>
      <c r="B51" s="1" t="s">
        <v>35</v>
      </c>
      <c r="C51" s="8" t="s">
        <v>143</v>
      </c>
      <c r="D51" s="5">
        <v>45351</v>
      </c>
      <c r="E51" s="10">
        <f t="shared" ca="1" si="3"/>
        <v>765</v>
      </c>
      <c r="F51" s="5">
        <v>45352</v>
      </c>
      <c r="G51" s="5"/>
      <c r="H51" s="1" t="s">
        <v>144</v>
      </c>
      <c r="I51" s="1" t="s">
        <v>31</v>
      </c>
      <c r="J51" s="1" t="s">
        <v>48</v>
      </c>
      <c r="K51" s="1">
        <f>431+66</f>
        <v>497</v>
      </c>
      <c r="L51" s="14">
        <v>30000000</v>
      </c>
      <c r="M51" s="14">
        <v>18000000</v>
      </c>
      <c r="N51" s="102">
        <f t="shared" si="4"/>
        <v>0.6</v>
      </c>
      <c r="O51" s="1" t="s">
        <v>137</v>
      </c>
      <c r="P51" s="79" t="s">
        <v>35</v>
      </c>
      <c r="Q51" s="44" t="s">
        <v>145</v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9" x14ac:dyDescent="0.3">
      <c r="A52" s="1">
        <v>2024</v>
      </c>
      <c r="C52" s="8" t="s">
        <v>146</v>
      </c>
      <c r="D52" s="5"/>
      <c r="E52" s="10" t="str">
        <f t="shared" ca="1" si="3"/>
        <v>Waiting on Info</v>
      </c>
      <c r="F52" s="5" t="str">
        <f>IF(D52="","TBD",14+D52)</f>
        <v>TBD</v>
      </c>
      <c r="G52" s="5"/>
      <c r="H52" s="1" t="s">
        <v>147</v>
      </c>
      <c r="I52" s="1" t="s">
        <v>115</v>
      </c>
      <c r="J52" s="1" t="s">
        <v>48</v>
      </c>
      <c r="K52" s="1">
        <v>205</v>
      </c>
      <c r="L52" s="14" t="s">
        <v>42</v>
      </c>
      <c r="M52" s="14" t="s">
        <v>42</v>
      </c>
      <c r="N52" s="102" t="str">
        <f t="shared" si="4"/>
        <v/>
      </c>
      <c r="O52" s="1" t="s">
        <v>148</v>
      </c>
      <c r="P52" s="79"/>
      <c r="Q52" s="22" t="s">
        <v>149</v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9" x14ac:dyDescent="0.3">
      <c r="A53" s="1">
        <v>2024</v>
      </c>
      <c r="C53" s="8" t="s">
        <v>150</v>
      </c>
      <c r="D53" s="5"/>
      <c r="E53" s="10" t="str">
        <f t="shared" ca="1" si="3"/>
        <v>Waiting on Info</v>
      </c>
      <c r="F53" s="5" t="str">
        <f>IF(D53="","TBD",14+D53)</f>
        <v>TBD</v>
      </c>
      <c r="G53" s="5"/>
      <c r="H53" s="1" t="s">
        <v>47</v>
      </c>
      <c r="I53" s="1" t="s">
        <v>31</v>
      </c>
      <c r="J53" s="1" t="s">
        <v>48</v>
      </c>
      <c r="L53" s="14">
        <v>30000000</v>
      </c>
      <c r="M53" s="14" t="s">
        <v>42</v>
      </c>
      <c r="N53" s="102" t="str">
        <f t="shared" si="4"/>
        <v/>
      </c>
      <c r="O53" s="69" t="s">
        <v>151</v>
      </c>
      <c r="P53" s="79" t="s">
        <v>35</v>
      </c>
      <c r="Q53" s="22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9" x14ac:dyDescent="0.3">
      <c r="A54" s="1">
        <v>2024</v>
      </c>
      <c r="B54" s="1" t="s">
        <v>35</v>
      </c>
      <c r="C54" t="s">
        <v>152</v>
      </c>
      <c r="D54" s="5">
        <v>45351</v>
      </c>
      <c r="E54" s="10">
        <f t="shared" ca="1" si="3"/>
        <v>765</v>
      </c>
      <c r="F54" s="5">
        <f>IF(D54="","TBD",14+D54)</f>
        <v>45365</v>
      </c>
      <c r="G54" s="5"/>
      <c r="H54" s="1" t="s">
        <v>153</v>
      </c>
      <c r="I54" s="1" t="s">
        <v>57</v>
      </c>
      <c r="J54" s="1" t="s">
        <v>32</v>
      </c>
      <c r="L54" s="14">
        <v>30000000</v>
      </c>
      <c r="M54" s="14">
        <v>16500000</v>
      </c>
      <c r="N54" s="102">
        <f t="shared" si="4"/>
        <v>0.55000000000000004</v>
      </c>
      <c r="O54" s="1" t="s">
        <v>137</v>
      </c>
      <c r="P54" s="79" t="s">
        <v>35</v>
      </c>
      <c r="Q54" s="43" t="s">
        <v>154</v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9" x14ac:dyDescent="0.3">
      <c r="A55" s="1">
        <v>2024</v>
      </c>
      <c r="B55" s="1" t="s">
        <v>35</v>
      </c>
      <c r="C55" s="8" t="s">
        <v>155</v>
      </c>
      <c r="D55" s="5">
        <v>45356</v>
      </c>
      <c r="E55" s="10">
        <f t="shared" ca="1" si="3"/>
        <v>760</v>
      </c>
      <c r="F55" s="5">
        <f t="shared" ref="F55" si="5">IF(D55="","TBD",14+D55)</f>
        <v>45370</v>
      </c>
      <c r="G55" s="5"/>
      <c r="H55" s="1" t="s">
        <v>156</v>
      </c>
      <c r="I55" s="1" t="s">
        <v>157</v>
      </c>
      <c r="J55" s="1" t="s">
        <v>48</v>
      </c>
      <c r="L55" s="14">
        <v>20000000</v>
      </c>
      <c r="M55" s="14">
        <v>16000000</v>
      </c>
      <c r="N55" s="102">
        <f t="shared" si="4"/>
        <v>0.8</v>
      </c>
      <c r="O55" s="69" t="s">
        <v>44</v>
      </c>
      <c r="P55" s="79" t="s">
        <v>35</v>
      </c>
      <c r="Q55" s="22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9" x14ac:dyDescent="0.3">
      <c r="A56" s="1">
        <v>2023</v>
      </c>
      <c r="B56" s="1" t="s">
        <v>35</v>
      </c>
      <c r="C56" s="8" t="s">
        <v>158</v>
      </c>
      <c r="D56" s="5">
        <v>45394</v>
      </c>
      <c r="E56" s="10">
        <f t="shared" ca="1" si="3"/>
        <v>722</v>
      </c>
      <c r="F56" s="1" t="s">
        <v>51</v>
      </c>
      <c r="H56" s="1" t="s">
        <v>159</v>
      </c>
      <c r="I56" s="1" t="s">
        <v>57</v>
      </c>
      <c r="J56" s="1" t="s">
        <v>48</v>
      </c>
      <c r="K56" s="1">
        <v>471</v>
      </c>
      <c r="L56" s="33">
        <v>50000000</v>
      </c>
      <c r="M56" s="33">
        <v>15000000</v>
      </c>
      <c r="N56" s="102">
        <f t="shared" si="4"/>
        <v>0.3</v>
      </c>
      <c r="O56" s="1" t="s">
        <v>137</v>
      </c>
      <c r="P56" s="79" t="s">
        <v>35</v>
      </c>
      <c r="Q56" s="44" t="s">
        <v>160</v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9" x14ac:dyDescent="0.3">
      <c r="A57" s="1">
        <v>2024</v>
      </c>
      <c r="C57" s="8" t="s">
        <v>161</v>
      </c>
      <c r="D57" s="5"/>
      <c r="E57" s="10" t="str">
        <f t="shared" ca="1" si="3"/>
        <v>Waiting on Info</v>
      </c>
      <c r="F57" s="5"/>
      <c r="G57" s="5"/>
      <c r="H57" s="1" t="s">
        <v>162</v>
      </c>
      <c r="I57" s="1" t="s">
        <v>163</v>
      </c>
      <c r="J57" s="1" t="s">
        <v>48</v>
      </c>
      <c r="K57" s="1" t="s">
        <v>164</v>
      </c>
      <c r="L57" s="14" t="s">
        <v>42</v>
      </c>
      <c r="M57" s="14" t="s">
        <v>42</v>
      </c>
      <c r="N57" s="102" t="str">
        <f t="shared" si="4"/>
        <v/>
      </c>
      <c r="O57" s="69" t="s">
        <v>151</v>
      </c>
      <c r="P57" s="79" t="s">
        <v>35</v>
      </c>
      <c r="Q57" s="22" t="s">
        <v>165</v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9" x14ac:dyDescent="0.3">
      <c r="A58" s="1">
        <v>2024</v>
      </c>
      <c r="B58" s="1" t="s">
        <v>35</v>
      </c>
      <c r="C58" t="s">
        <v>166</v>
      </c>
      <c r="D58" s="5">
        <v>45401</v>
      </c>
      <c r="E58" s="10">
        <f t="shared" ca="1" si="3"/>
        <v>715</v>
      </c>
      <c r="F58" s="1" t="s">
        <v>51</v>
      </c>
      <c r="G58" s="10" t="str">
        <f t="shared" ref="G58:G64" ca="1" si="6">IFERROR(IF(F58="","",F58-$A$1),"n/a")</f>
        <v>n/a</v>
      </c>
      <c r="H58" s="1" t="s">
        <v>38</v>
      </c>
      <c r="I58" s="1" t="s">
        <v>31</v>
      </c>
      <c r="J58" s="1" t="s">
        <v>48</v>
      </c>
      <c r="K58" s="1">
        <v>200</v>
      </c>
      <c r="L58" s="33" t="s">
        <v>33</v>
      </c>
      <c r="M58" s="33">
        <v>20000000</v>
      </c>
      <c r="N58" s="102" t="str">
        <f t="shared" si="4"/>
        <v/>
      </c>
      <c r="O58" s="69" t="s">
        <v>44</v>
      </c>
      <c r="P58" s="79" t="s">
        <v>35</v>
      </c>
      <c r="Q58" s="28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9" x14ac:dyDescent="0.3">
      <c r="A59" s="1">
        <v>2024</v>
      </c>
      <c r="C59" s="8" t="s">
        <v>167</v>
      </c>
      <c r="D59" s="5"/>
      <c r="E59" s="10" t="str">
        <f t="shared" ca="1" si="3"/>
        <v>Waiting on Info</v>
      </c>
      <c r="F59" s="5"/>
      <c r="G59" s="10" t="str">
        <f t="shared" si="6"/>
        <v/>
      </c>
      <c r="H59" s="1" t="s">
        <v>168</v>
      </c>
      <c r="I59" s="1" t="s">
        <v>53</v>
      </c>
      <c r="J59" s="1" t="s">
        <v>48</v>
      </c>
      <c r="K59" s="1">
        <v>500</v>
      </c>
      <c r="L59" s="14" t="s">
        <v>42</v>
      </c>
      <c r="M59" s="14" t="s">
        <v>42</v>
      </c>
      <c r="N59" s="102" t="str">
        <f t="shared" si="4"/>
        <v/>
      </c>
      <c r="O59" s="19" t="s">
        <v>169</v>
      </c>
      <c r="P59" s="83" t="s">
        <v>35</v>
      </c>
      <c r="Q59" s="22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9" x14ac:dyDescent="0.3">
      <c r="A60" s="1">
        <v>2023</v>
      </c>
      <c r="B60" s="1" t="s">
        <v>35</v>
      </c>
      <c r="C60" s="8" t="s">
        <v>170</v>
      </c>
      <c r="D60" s="5"/>
      <c r="E60" s="14"/>
      <c r="F60" s="5"/>
      <c r="G60" s="10" t="str">
        <f t="shared" si="6"/>
        <v/>
      </c>
      <c r="H60" s="1" t="s">
        <v>168</v>
      </c>
      <c r="I60" s="1" t="s">
        <v>53</v>
      </c>
      <c r="J60" s="1" t="s">
        <v>48</v>
      </c>
      <c r="K60" s="1">
        <v>250</v>
      </c>
      <c r="L60" s="14">
        <v>25000000</v>
      </c>
      <c r="M60" s="14">
        <v>24000000</v>
      </c>
      <c r="N60" s="102">
        <f t="shared" si="4"/>
        <v>0.96</v>
      </c>
      <c r="O60" s="19" t="s">
        <v>169</v>
      </c>
      <c r="P60" s="83" t="s">
        <v>35</v>
      </c>
      <c r="Q60" s="22" t="s">
        <v>171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9" x14ac:dyDescent="0.3">
      <c r="A61" s="1">
        <v>2024</v>
      </c>
      <c r="C61" s="8" t="s">
        <v>172</v>
      </c>
      <c r="D61" s="5"/>
      <c r="E61" s="10" t="str">
        <f ca="1">IFERROR(IF(C61="","",IF(($A$1-D61)&gt;45000,"Waiting on Info",$A$1-D61)),"")</f>
        <v>Waiting on Info</v>
      </c>
      <c r="F61" s="5"/>
      <c r="G61" s="10" t="str">
        <f t="shared" si="6"/>
        <v/>
      </c>
      <c r="H61" s="1" t="s">
        <v>173</v>
      </c>
      <c r="I61" s="1" t="s">
        <v>75</v>
      </c>
      <c r="J61" s="1" t="s">
        <v>48</v>
      </c>
      <c r="K61" s="1" t="s">
        <v>174</v>
      </c>
      <c r="L61" s="14" t="s">
        <v>42</v>
      </c>
      <c r="M61" s="14" t="s">
        <v>42</v>
      </c>
      <c r="N61" s="102" t="str">
        <f t="shared" si="4"/>
        <v/>
      </c>
      <c r="O61" s="9" t="s">
        <v>151</v>
      </c>
      <c r="P61" s="83" t="s">
        <v>35</v>
      </c>
      <c r="Q61" s="22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9" x14ac:dyDescent="0.3">
      <c r="A62" s="1">
        <v>2024</v>
      </c>
      <c r="B62" s="1" t="s">
        <v>35</v>
      </c>
      <c r="C62" s="8" t="s">
        <v>175</v>
      </c>
      <c r="D62" s="5" t="s">
        <v>176</v>
      </c>
      <c r="E62" s="14">
        <v>31000000</v>
      </c>
      <c r="F62" s="5" t="s">
        <v>42</v>
      </c>
      <c r="G62" s="10" t="str">
        <f t="shared" ca="1" si="6"/>
        <v>n/a</v>
      </c>
      <c r="H62" s="1" t="s">
        <v>177</v>
      </c>
      <c r="I62" s="1" t="s">
        <v>75</v>
      </c>
      <c r="J62" s="1" t="s">
        <v>48</v>
      </c>
      <c r="K62" s="1">
        <v>600</v>
      </c>
      <c r="L62" s="14">
        <v>50000000</v>
      </c>
      <c r="M62" s="14">
        <v>31000000</v>
      </c>
      <c r="N62" s="102">
        <f t="shared" si="4"/>
        <v>0.62</v>
      </c>
      <c r="O62" s="9" t="s">
        <v>34</v>
      </c>
      <c r="P62" s="83" t="s">
        <v>35</v>
      </c>
      <c r="Q62" s="22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9" x14ac:dyDescent="0.3">
      <c r="A63" s="1">
        <v>2024</v>
      </c>
      <c r="B63" s="1" t="s">
        <v>35</v>
      </c>
      <c r="C63" s="8" t="s">
        <v>178</v>
      </c>
      <c r="D63" s="5">
        <v>45449</v>
      </c>
      <c r="E63" s="10">
        <f ca="1">IFERROR(IF(C63="","",IF(($A$1-D63)&gt;45000,"Waiting on Info",$A$1-D63)),"")</f>
        <v>667</v>
      </c>
      <c r="F63" s="1" t="s">
        <v>42</v>
      </c>
      <c r="G63" s="10" t="str">
        <f t="shared" ca="1" si="6"/>
        <v>n/a</v>
      </c>
      <c r="H63" s="1" t="s">
        <v>179</v>
      </c>
      <c r="I63" s="1" t="s">
        <v>72</v>
      </c>
      <c r="J63" s="1" t="s">
        <v>32</v>
      </c>
      <c r="K63" s="1">
        <v>163</v>
      </c>
      <c r="L63" s="33">
        <v>11000000</v>
      </c>
      <c r="M63" s="33" t="s">
        <v>42</v>
      </c>
      <c r="N63" s="102" t="str">
        <f t="shared" si="4"/>
        <v/>
      </c>
      <c r="O63" s="9" t="s">
        <v>34</v>
      </c>
      <c r="P63" s="83" t="s">
        <v>35</v>
      </c>
      <c r="Q63" s="44" t="s">
        <v>180</v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9" x14ac:dyDescent="0.3">
      <c r="A64" s="1">
        <v>2024</v>
      </c>
      <c r="B64" s="1" t="s">
        <v>35</v>
      </c>
      <c r="C64" t="s">
        <v>181</v>
      </c>
      <c r="D64" s="5">
        <v>45485</v>
      </c>
      <c r="E64" s="10">
        <f ca="1">IFERROR(IF(C64="","",IF(($A$1-D64)&gt;45000,"Waiting on Info",$A$1-D64)),"")</f>
        <v>631</v>
      </c>
      <c r="F64" s="1" t="s">
        <v>51</v>
      </c>
      <c r="G64" s="10" t="str">
        <f t="shared" ca="1" si="6"/>
        <v>n/a</v>
      </c>
      <c r="H64" s="1" t="s">
        <v>182</v>
      </c>
      <c r="I64" s="1" t="s">
        <v>115</v>
      </c>
      <c r="J64" s="1" t="s">
        <v>48</v>
      </c>
      <c r="K64" s="1">
        <v>165</v>
      </c>
      <c r="L64" s="14">
        <v>30000000</v>
      </c>
      <c r="M64" s="14">
        <v>27000000</v>
      </c>
      <c r="N64" s="102">
        <f t="shared" si="4"/>
        <v>0.9</v>
      </c>
      <c r="O64" s="9" t="s">
        <v>34</v>
      </c>
      <c r="P64" s="83" t="s">
        <v>35</v>
      </c>
      <c r="Q64" s="22" t="s">
        <v>183</v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spans="1:29" x14ac:dyDescent="0.3">
      <c r="C65" s="8"/>
      <c r="D65" s="5"/>
      <c r="E65" s="10"/>
      <c r="K65" s="14"/>
      <c r="L65" s="14"/>
      <c r="M65" s="14"/>
      <c r="N65" s="102" t="str">
        <f t="shared" si="4"/>
        <v/>
      </c>
      <c r="P65" s="79"/>
      <c r="Q65" s="44" t="s">
        <v>15</v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x14ac:dyDescent="0.3">
      <c r="C66" s="8"/>
      <c r="E66" s="10"/>
      <c r="K66" s="14"/>
      <c r="L66" s="14"/>
      <c r="M66" s="14"/>
      <c r="N66" s="102" t="str">
        <f t="shared" si="4"/>
        <v/>
      </c>
      <c r="P66" s="79"/>
      <c r="Q66" s="44" t="s">
        <v>15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spans="1:29" x14ac:dyDescent="0.3">
      <c r="C67" s="8"/>
      <c r="E67" s="10"/>
      <c r="K67" s="14"/>
      <c r="L67" s="14"/>
      <c r="M67" s="14"/>
      <c r="N67" s="102" t="str">
        <f t="shared" si="4"/>
        <v/>
      </c>
      <c r="P67" s="81"/>
      <c r="Q67" s="46" t="s">
        <v>15</v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ht="15" thickBot="1" x14ac:dyDescent="0.35">
      <c r="A68" s="3"/>
      <c r="B68" s="3">
        <f>COUNTIF(B43:B67,"&lt;&gt;")</f>
        <v>11</v>
      </c>
      <c r="C68" s="3">
        <f>COUNTIF(C43:C67,"&lt;&gt;")</f>
        <v>22</v>
      </c>
      <c r="D68" s="3"/>
      <c r="E68" s="3"/>
      <c r="F68" s="3"/>
      <c r="G68" s="3"/>
      <c r="H68" s="3"/>
      <c r="I68" s="3"/>
      <c r="J68" s="3">
        <f>COUNTIF(J43:J67,"Off-Market")</f>
        <v>17</v>
      </c>
      <c r="K68" s="24">
        <f>SUM(K3:K67)</f>
        <v>14128</v>
      </c>
      <c r="L68" s="24">
        <f>SUM(L43:L67)</f>
        <v>403000000</v>
      </c>
      <c r="M68" s="24">
        <f>SUM(M43:M67)</f>
        <v>184000000</v>
      </c>
      <c r="N68" s="103">
        <f>IFERROR(AVERAGE(N43:N67),0)</f>
        <v>0.68500000000000005</v>
      </c>
      <c r="O68" s="3"/>
      <c r="P68" s="3"/>
      <c r="Q68" s="30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spans="1:29" x14ac:dyDescent="0.3">
      <c r="A69" s="6">
        <f>COUNTIF($A$43:$A$67,"2023")</f>
        <v>3</v>
      </c>
      <c r="B69" s="51" t="s">
        <v>84</v>
      </c>
      <c r="C69" s="6"/>
      <c r="D69" s="6"/>
      <c r="E69" s="6"/>
      <c r="F69" s="6"/>
      <c r="G69" s="6"/>
      <c r="H69" s="6"/>
      <c r="I69" s="6"/>
      <c r="J69" s="52" t="s">
        <v>85</v>
      </c>
      <c r="K69" s="6"/>
      <c r="L69" s="6"/>
      <c r="M69" s="6"/>
      <c r="N69" s="6"/>
      <c r="O69" s="6"/>
      <c r="P69" s="6"/>
      <c r="Q69" s="6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s="7" customFormat="1" x14ac:dyDescent="0.3">
      <c r="A70" s="6">
        <f>COUNTIF($A$43:$A$67,"2024")</f>
        <v>19</v>
      </c>
      <c r="B70" s="51" t="s">
        <v>86</v>
      </c>
      <c r="C70" s="6"/>
      <c r="D70" s="6"/>
      <c r="E70" s="6"/>
      <c r="F70" s="6"/>
      <c r="G70" s="6"/>
      <c r="H70" s="6"/>
      <c r="I70" s="6"/>
      <c r="J70" s="5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spans="1:29" x14ac:dyDescent="0.3">
      <c r="A71" s="6">
        <f>COUNTIF($A$43:$A$67,"2025")</f>
        <v>0</v>
      </c>
      <c r="B71" s="51" t="s">
        <v>87</v>
      </c>
      <c r="C71" s="6"/>
      <c r="D71" s="6"/>
      <c r="E71" s="6"/>
      <c r="F71" s="6"/>
      <c r="G71" s="6"/>
      <c r="H71" s="6"/>
      <c r="I71" s="6"/>
      <c r="J71" s="39"/>
      <c r="K71" s="7"/>
      <c r="L71" s="7"/>
      <c r="M71" s="7"/>
      <c r="N71" s="7"/>
      <c r="O71" s="6"/>
      <c r="P71" s="6"/>
      <c r="Q71" s="6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x14ac:dyDescent="0.3"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spans="1:29" ht="21" x14ac:dyDescent="0.4">
      <c r="A73" s="13"/>
      <c r="B73" s="13"/>
      <c r="C73" s="12" t="s">
        <v>184</v>
      </c>
      <c r="D73" s="12"/>
      <c r="E73" s="12"/>
      <c r="F73" s="12"/>
      <c r="G73" s="12"/>
      <c r="H73" s="13"/>
      <c r="I73" s="13"/>
      <c r="J73" s="13"/>
      <c r="K73" s="13"/>
      <c r="L73" s="13"/>
      <c r="M73" s="13"/>
      <c r="N73" s="13"/>
      <c r="O73" s="32"/>
      <c r="P73" s="70"/>
      <c r="Q73" s="482" t="s">
        <v>12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x14ac:dyDescent="0.3">
      <c r="A74" s="23" t="s">
        <v>16</v>
      </c>
      <c r="B74" s="23" t="s">
        <v>17</v>
      </c>
      <c r="C74" s="23" t="s">
        <v>18</v>
      </c>
      <c r="D74" s="485" t="s">
        <v>28</v>
      </c>
      <c r="E74" s="485"/>
      <c r="F74" s="485"/>
      <c r="G74" s="48" t="s">
        <v>22</v>
      </c>
      <c r="H74" s="37" t="s">
        <v>1</v>
      </c>
      <c r="I74" s="37" t="s">
        <v>2</v>
      </c>
      <c r="J74" s="37" t="s">
        <v>23</v>
      </c>
      <c r="K74" s="37" t="s">
        <v>24</v>
      </c>
      <c r="L74" s="23" t="s">
        <v>25</v>
      </c>
      <c r="M74" s="37" t="s">
        <v>26</v>
      </c>
      <c r="N74" s="23" t="s">
        <v>27</v>
      </c>
      <c r="O74" s="38"/>
      <c r="P74" s="71" t="s">
        <v>10</v>
      </c>
      <c r="Q74" s="484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spans="1:29" x14ac:dyDescent="0.3">
      <c r="A75" s="1">
        <v>2023</v>
      </c>
      <c r="B75" s="1" t="s">
        <v>35</v>
      </c>
      <c r="C75" s="112" t="s">
        <v>185</v>
      </c>
      <c r="D75" s="481" t="s">
        <v>186</v>
      </c>
      <c r="E75" s="481"/>
      <c r="F75" s="481"/>
      <c r="H75" s="1" t="s">
        <v>187</v>
      </c>
      <c r="I75" s="1" t="s">
        <v>188</v>
      </c>
      <c r="J75" s="1" t="s">
        <v>32</v>
      </c>
      <c r="L75" s="14">
        <v>18000000</v>
      </c>
      <c r="M75" s="14">
        <v>12000000</v>
      </c>
      <c r="N75" s="102">
        <f t="shared" ref="N75:N105" si="7">IFERROR(IF(AND(L75&lt;&gt;"Market",M75&lt;&gt;"TBD"),M75/L75,""),"")</f>
        <v>0.66666666666666663</v>
      </c>
      <c r="O75" s="57" t="s">
        <v>189</v>
      </c>
      <c r="P75" s="74"/>
      <c r="Q75" s="93" t="s">
        <v>190</v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spans="1:29" x14ac:dyDescent="0.3">
      <c r="A76" s="1">
        <v>2023</v>
      </c>
      <c r="B76" s="1" t="s">
        <v>35</v>
      </c>
      <c r="C76" s="40" t="s">
        <v>191</v>
      </c>
      <c r="D76" s="480" t="s">
        <v>189</v>
      </c>
      <c r="E76" s="480"/>
      <c r="F76" s="480"/>
      <c r="H76" s="1" t="s">
        <v>192</v>
      </c>
      <c r="I76" s="1" t="s">
        <v>75</v>
      </c>
      <c r="J76" s="1" t="s">
        <v>32</v>
      </c>
      <c r="L76" s="14">
        <v>7000000</v>
      </c>
      <c r="M76" s="14">
        <v>7000000</v>
      </c>
      <c r="N76" s="102">
        <f t="shared" si="7"/>
        <v>1</v>
      </c>
      <c r="O76" s="57" t="s">
        <v>189</v>
      </c>
      <c r="P76" s="75"/>
      <c r="Q76" s="94" t="s">
        <v>193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spans="1:29" x14ac:dyDescent="0.3">
      <c r="A77" s="1">
        <v>2023</v>
      </c>
      <c r="B77" s="1" t="s">
        <v>35</v>
      </c>
      <c r="C77" s="112" t="s">
        <v>194</v>
      </c>
      <c r="D77" s="481" t="s">
        <v>186</v>
      </c>
      <c r="E77" s="481"/>
      <c r="F77" s="481"/>
      <c r="H77" s="1" t="s">
        <v>124</v>
      </c>
      <c r="I77" s="1" t="s">
        <v>31</v>
      </c>
      <c r="J77" s="1" t="s">
        <v>48</v>
      </c>
      <c r="L77" s="14">
        <v>8000000</v>
      </c>
      <c r="M77" s="14">
        <v>8000000</v>
      </c>
      <c r="N77" s="102">
        <f t="shared" si="7"/>
        <v>1</v>
      </c>
      <c r="O77" s="57" t="s">
        <v>189</v>
      </c>
      <c r="P77" s="75" t="s">
        <v>35</v>
      </c>
      <c r="Q77" s="94" t="s">
        <v>195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spans="1:29" x14ac:dyDescent="0.3">
      <c r="A78" s="1">
        <v>2023</v>
      </c>
      <c r="B78" s="1" t="s">
        <v>35</v>
      </c>
      <c r="C78" s="40" t="s">
        <v>196</v>
      </c>
      <c r="D78" s="480" t="s">
        <v>189</v>
      </c>
      <c r="E78" s="480"/>
      <c r="F78" s="480"/>
      <c r="H78" s="1" t="s">
        <v>197</v>
      </c>
      <c r="I78" s="1" t="s">
        <v>198</v>
      </c>
      <c r="J78" s="1" t="s">
        <v>32</v>
      </c>
      <c r="L78" s="14">
        <v>8000000</v>
      </c>
      <c r="M78" s="14">
        <v>8000000</v>
      </c>
      <c r="N78" s="102">
        <f t="shared" si="7"/>
        <v>1</v>
      </c>
      <c r="O78" s="57" t="s">
        <v>189</v>
      </c>
      <c r="P78" s="75"/>
      <c r="Q78" s="94" t="s">
        <v>199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spans="1:29" x14ac:dyDescent="0.3">
      <c r="A79" s="1">
        <v>2023</v>
      </c>
      <c r="B79" s="1" t="s">
        <v>35</v>
      </c>
      <c r="C79" s="40" t="s">
        <v>200</v>
      </c>
      <c r="D79" s="480" t="s">
        <v>189</v>
      </c>
      <c r="E79" s="480"/>
      <c r="F79" s="480"/>
      <c r="H79" s="1" t="s">
        <v>201</v>
      </c>
      <c r="I79" s="1" t="s">
        <v>75</v>
      </c>
      <c r="J79" s="1" t="s">
        <v>48</v>
      </c>
      <c r="L79" s="14">
        <v>9000000</v>
      </c>
      <c r="M79" s="14">
        <v>9000000</v>
      </c>
      <c r="N79" s="102">
        <f t="shared" si="7"/>
        <v>1</v>
      </c>
      <c r="O79" s="57" t="s">
        <v>189</v>
      </c>
      <c r="P79" s="75"/>
      <c r="Q79" s="94" t="s">
        <v>202</v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spans="1:29" x14ac:dyDescent="0.3">
      <c r="A80" s="1">
        <v>2023</v>
      </c>
      <c r="B80" s="1" t="s">
        <v>35</v>
      </c>
      <c r="C80" s="40" t="s">
        <v>203</v>
      </c>
      <c r="D80" s="480" t="s">
        <v>189</v>
      </c>
      <c r="E80" s="480"/>
      <c r="F80" s="480"/>
      <c r="H80" s="1" t="s">
        <v>204</v>
      </c>
      <c r="I80" s="1" t="s">
        <v>130</v>
      </c>
      <c r="J80" s="1" t="s">
        <v>32</v>
      </c>
      <c r="L80" s="14">
        <v>11000000</v>
      </c>
      <c r="M80" s="14">
        <v>11000000</v>
      </c>
      <c r="N80" s="102">
        <f t="shared" si="7"/>
        <v>1</v>
      </c>
      <c r="O80" s="57" t="s">
        <v>189</v>
      </c>
      <c r="P80" s="75"/>
      <c r="Q80" s="94" t="s">
        <v>205</v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x14ac:dyDescent="0.3">
      <c r="A81" s="1">
        <v>2023</v>
      </c>
      <c r="B81" s="1" t="s">
        <v>35</v>
      </c>
      <c r="C81" s="40" t="s">
        <v>206</v>
      </c>
      <c r="D81" s="480" t="s">
        <v>189</v>
      </c>
      <c r="E81" s="480"/>
      <c r="F81" s="480"/>
      <c r="H81" s="10" t="s">
        <v>207</v>
      </c>
      <c r="I81" s="1" t="s">
        <v>208</v>
      </c>
      <c r="J81" s="1" t="s">
        <v>32</v>
      </c>
      <c r="L81" s="14">
        <v>8000000</v>
      </c>
      <c r="M81" s="14">
        <v>8000000</v>
      </c>
      <c r="N81" s="102">
        <f t="shared" si="7"/>
        <v>1</v>
      </c>
      <c r="O81" s="57" t="s">
        <v>189</v>
      </c>
      <c r="P81" s="75"/>
      <c r="Q81" s="94" t="s">
        <v>209</v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spans="1:29" x14ac:dyDescent="0.3">
      <c r="A82" s="1">
        <v>2024</v>
      </c>
      <c r="B82" s="1" t="s">
        <v>35</v>
      </c>
      <c r="C82" s="40" t="s">
        <v>210</v>
      </c>
      <c r="D82" s="480" t="s">
        <v>189</v>
      </c>
      <c r="E82" s="480"/>
      <c r="F82" s="480"/>
      <c r="H82" s="1" t="s">
        <v>211</v>
      </c>
      <c r="I82" s="1" t="s">
        <v>57</v>
      </c>
      <c r="J82" s="1" t="s">
        <v>32</v>
      </c>
      <c r="L82" s="14">
        <v>6000000</v>
      </c>
      <c r="M82" s="14">
        <v>6000000</v>
      </c>
      <c r="N82" s="102">
        <f t="shared" si="7"/>
        <v>1</v>
      </c>
      <c r="O82" s="57" t="s">
        <v>189</v>
      </c>
      <c r="P82" s="75"/>
      <c r="Q82" s="94" t="s">
        <v>212</v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x14ac:dyDescent="0.3">
      <c r="A83" s="1">
        <v>2024</v>
      </c>
      <c r="B83" s="1" t="s">
        <v>35</v>
      </c>
      <c r="C83" s="40" t="s">
        <v>213</v>
      </c>
      <c r="D83" s="480" t="s">
        <v>189</v>
      </c>
      <c r="E83" s="480"/>
      <c r="F83" s="480"/>
      <c r="H83" s="1" t="s">
        <v>214</v>
      </c>
      <c r="I83" s="1" t="s">
        <v>215</v>
      </c>
      <c r="J83" s="1" t="s">
        <v>48</v>
      </c>
      <c r="L83" s="14">
        <v>5000000</v>
      </c>
      <c r="M83" s="14">
        <v>5000000</v>
      </c>
      <c r="N83" s="102">
        <f t="shared" si="7"/>
        <v>1</v>
      </c>
      <c r="O83" s="57" t="s">
        <v>189</v>
      </c>
      <c r="P83" s="75"/>
      <c r="Q83" s="94" t="s">
        <v>216</v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spans="1:29" x14ac:dyDescent="0.3">
      <c r="A84" s="1">
        <v>2024</v>
      </c>
      <c r="B84" s="1" t="s">
        <v>35</v>
      </c>
      <c r="C84" s="40" t="s">
        <v>217</v>
      </c>
      <c r="D84" s="480" t="s">
        <v>189</v>
      </c>
      <c r="E84" s="480"/>
      <c r="F84" s="480"/>
      <c r="H84" s="1" t="s">
        <v>218</v>
      </c>
      <c r="I84" s="1" t="s">
        <v>219</v>
      </c>
      <c r="J84" s="1" t="s">
        <v>48</v>
      </c>
      <c r="L84" s="14">
        <v>3500000</v>
      </c>
      <c r="M84" s="14">
        <v>3500000</v>
      </c>
      <c r="N84" s="102">
        <f t="shared" si="7"/>
        <v>1</v>
      </c>
      <c r="O84" s="57" t="s">
        <v>189</v>
      </c>
      <c r="P84" s="75"/>
      <c r="Q84" s="43" t="s">
        <v>220</v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x14ac:dyDescent="0.3">
      <c r="A85" s="1">
        <v>2024</v>
      </c>
      <c r="B85" s="1" t="s">
        <v>35</v>
      </c>
      <c r="C85" s="41" t="s">
        <v>221</v>
      </c>
      <c r="D85" s="480" t="s">
        <v>189</v>
      </c>
      <c r="E85" s="480"/>
      <c r="F85" s="480"/>
      <c r="H85" s="1" t="s">
        <v>222</v>
      </c>
      <c r="I85" s="1" t="s">
        <v>219</v>
      </c>
      <c r="J85" s="1" t="s">
        <v>48</v>
      </c>
      <c r="L85" s="14">
        <v>2500000</v>
      </c>
      <c r="M85" s="14">
        <v>2500000</v>
      </c>
      <c r="N85" s="102">
        <f t="shared" si="7"/>
        <v>1</v>
      </c>
      <c r="O85" s="57" t="s">
        <v>189</v>
      </c>
      <c r="P85" s="75"/>
      <c r="Q85" s="94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spans="1:29" x14ac:dyDescent="0.3">
      <c r="A86" s="1">
        <v>2024</v>
      </c>
      <c r="B86" s="1" t="s">
        <v>35</v>
      </c>
      <c r="C86" s="41" t="s">
        <v>223</v>
      </c>
      <c r="D86" s="480" t="s">
        <v>189</v>
      </c>
      <c r="E86" s="480"/>
      <c r="F86" s="480"/>
      <c r="H86" s="1" t="s">
        <v>224</v>
      </c>
      <c r="I86" s="1" t="s">
        <v>225</v>
      </c>
      <c r="J86" s="1" t="s">
        <v>32</v>
      </c>
      <c r="K86" s="8"/>
      <c r="L86" s="14">
        <v>8600000</v>
      </c>
      <c r="M86" s="14">
        <v>8600000</v>
      </c>
      <c r="N86" s="102">
        <f t="shared" si="7"/>
        <v>1</v>
      </c>
      <c r="O86" s="57" t="s">
        <v>189</v>
      </c>
      <c r="P86" s="75"/>
      <c r="Q86" s="94" t="s">
        <v>226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x14ac:dyDescent="0.3">
      <c r="A87" s="1">
        <v>2023</v>
      </c>
      <c r="B87" s="1" t="s">
        <v>35</v>
      </c>
      <c r="C87" s="41" t="s">
        <v>227</v>
      </c>
      <c r="D87" s="480" t="s">
        <v>189</v>
      </c>
      <c r="E87" s="480"/>
      <c r="F87" s="480"/>
      <c r="H87" s="1" t="s">
        <v>228</v>
      </c>
      <c r="I87" s="1" t="s">
        <v>31</v>
      </c>
      <c r="J87" s="1" t="s">
        <v>48</v>
      </c>
      <c r="K87" s="8"/>
      <c r="L87" s="14">
        <v>9000000</v>
      </c>
      <c r="M87" s="14">
        <v>9000000</v>
      </c>
      <c r="N87" s="102">
        <f t="shared" si="7"/>
        <v>1</v>
      </c>
      <c r="O87" s="57" t="s">
        <v>189</v>
      </c>
      <c r="P87" s="75" t="s">
        <v>35</v>
      </c>
      <c r="Q87" s="94" t="s">
        <v>229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spans="1:29" x14ac:dyDescent="0.3">
      <c r="A88" s="1">
        <v>2023</v>
      </c>
      <c r="B88" s="1" t="s">
        <v>35</v>
      </c>
      <c r="C88" s="41" t="s">
        <v>230</v>
      </c>
      <c r="D88" s="480" t="s">
        <v>189</v>
      </c>
      <c r="E88" s="480"/>
      <c r="F88" s="480"/>
      <c r="H88" s="1" t="s">
        <v>231</v>
      </c>
      <c r="I88" s="1" t="s">
        <v>31</v>
      </c>
      <c r="J88" s="1" t="s">
        <v>32</v>
      </c>
      <c r="K88" s="8"/>
      <c r="L88" s="14">
        <v>10000000</v>
      </c>
      <c r="M88" s="14">
        <v>10000000</v>
      </c>
      <c r="N88" s="102">
        <f t="shared" si="7"/>
        <v>1</v>
      </c>
      <c r="O88" s="57" t="s">
        <v>189</v>
      </c>
      <c r="P88" s="75"/>
      <c r="Q88" s="95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x14ac:dyDescent="0.3">
      <c r="A89" s="1">
        <v>2023</v>
      </c>
      <c r="B89" s="1" t="s">
        <v>35</v>
      </c>
      <c r="C89" s="41" t="s">
        <v>232</v>
      </c>
      <c r="D89" s="480" t="s">
        <v>189</v>
      </c>
      <c r="E89" s="480"/>
      <c r="F89" s="480"/>
      <c r="H89" s="1" t="s">
        <v>231</v>
      </c>
      <c r="I89" s="1" t="s">
        <v>31</v>
      </c>
      <c r="J89" s="1" t="s">
        <v>32</v>
      </c>
      <c r="K89" s="8"/>
      <c r="L89" s="14">
        <v>4000000</v>
      </c>
      <c r="M89" s="14">
        <v>4000000</v>
      </c>
      <c r="N89" s="102">
        <f t="shared" si="7"/>
        <v>1</v>
      </c>
      <c r="O89" s="57" t="s">
        <v>189</v>
      </c>
      <c r="P89" s="75"/>
      <c r="Q89" s="95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spans="1:29" x14ac:dyDescent="0.3">
      <c r="A90" s="1">
        <v>2023</v>
      </c>
      <c r="B90" s="1" t="s">
        <v>35</v>
      </c>
      <c r="C90" s="112" t="s">
        <v>233</v>
      </c>
      <c r="D90" s="481" t="s">
        <v>186</v>
      </c>
      <c r="E90" s="481"/>
      <c r="F90" s="481"/>
      <c r="H90" s="1" t="s">
        <v>234</v>
      </c>
      <c r="I90" s="1" t="s">
        <v>75</v>
      </c>
      <c r="J90" s="1" t="s">
        <v>48</v>
      </c>
      <c r="K90" s="8"/>
      <c r="L90" s="14">
        <v>4000000</v>
      </c>
      <c r="M90" s="14">
        <v>4000000</v>
      </c>
      <c r="N90" s="102">
        <f t="shared" si="7"/>
        <v>1</v>
      </c>
      <c r="O90" s="57" t="s">
        <v>235</v>
      </c>
      <c r="P90" s="75" t="s">
        <v>35</v>
      </c>
      <c r="Q90" s="96" t="s">
        <v>236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spans="1:29" x14ac:dyDescent="0.3">
      <c r="A91" s="1">
        <v>2024</v>
      </c>
      <c r="B91" s="1" t="s">
        <v>35</v>
      </c>
      <c r="C91" s="41" t="s">
        <v>237</v>
      </c>
      <c r="D91" s="480" t="s">
        <v>189</v>
      </c>
      <c r="E91" s="480"/>
      <c r="F91" s="480"/>
      <c r="H91" s="1" t="s">
        <v>238</v>
      </c>
      <c r="I91" s="1" t="s">
        <v>31</v>
      </c>
      <c r="J91" s="1" t="s">
        <v>32</v>
      </c>
      <c r="K91" s="8"/>
      <c r="L91" s="14">
        <v>25000000</v>
      </c>
      <c r="M91" s="14">
        <v>25000000</v>
      </c>
      <c r="N91" s="102">
        <f t="shared" si="7"/>
        <v>1</v>
      </c>
      <c r="O91" s="57" t="s">
        <v>169</v>
      </c>
      <c r="P91" s="75" t="s">
        <v>35</v>
      </c>
      <c r="Q91" s="43" t="s">
        <v>239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x14ac:dyDescent="0.3">
      <c r="A92" s="1">
        <v>2023</v>
      </c>
      <c r="B92" s="1" t="s">
        <v>35</v>
      </c>
      <c r="C92" s="40" t="s">
        <v>240</v>
      </c>
      <c r="D92" s="480" t="s">
        <v>189</v>
      </c>
      <c r="E92" s="480"/>
      <c r="F92" s="480"/>
      <c r="H92" s="1" t="s">
        <v>238</v>
      </c>
      <c r="I92" s="1" t="s">
        <v>31</v>
      </c>
      <c r="J92" s="1" t="s">
        <v>32</v>
      </c>
      <c r="K92" s="8"/>
      <c r="L92" s="14">
        <v>8000000</v>
      </c>
      <c r="M92" s="14">
        <v>8000000</v>
      </c>
      <c r="N92" s="102">
        <f t="shared" si="7"/>
        <v>1</v>
      </c>
      <c r="O92" s="57" t="s">
        <v>189</v>
      </c>
      <c r="P92" s="75"/>
      <c r="Q92" s="43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spans="1:29" x14ac:dyDescent="0.3">
      <c r="A93" s="1">
        <v>2024</v>
      </c>
      <c r="B93" s="1" t="s">
        <v>35</v>
      </c>
      <c r="C93" s="41" t="s">
        <v>241</v>
      </c>
      <c r="D93" s="480" t="s">
        <v>189</v>
      </c>
      <c r="E93" s="480"/>
      <c r="F93" s="480"/>
      <c r="H93" s="1" t="s">
        <v>242</v>
      </c>
      <c r="I93" s="1" t="s">
        <v>208</v>
      </c>
      <c r="J93" s="1" t="s">
        <v>32</v>
      </c>
      <c r="L93" s="14">
        <v>8500000</v>
      </c>
      <c r="M93" s="14">
        <v>8500000</v>
      </c>
      <c r="N93" s="102">
        <f t="shared" si="7"/>
        <v>1</v>
      </c>
      <c r="O93" s="57" t="s">
        <v>189</v>
      </c>
      <c r="P93" s="75"/>
      <c r="Q93" s="94" t="s">
        <v>243</v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spans="1:29" x14ac:dyDescent="0.3">
      <c r="A94" s="1">
        <v>2024</v>
      </c>
      <c r="B94" s="1" t="s">
        <v>35</v>
      </c>
      <c r="C94" s="41" t="s">
        <v>244</v>
      </c>
      <c r="D94" s="480" t="s">
        <v>189</v>
      </c>
      <c r="E94" s="480"/>
      <c r="F94" s="480"/>
      <c r="H94" s="1" t="s">
        <v>245</v>
      </c>
      <c r="I94" s="1" t="s">
        <v>31</v>
      </c>
      <c r="J94" s="1" t="s">
        <v>48</v>
      </c>
      <c r="L94" s="10" t="s">
        <v>116</v>
      </c>
      <c r="M94" s="10" t="s">
        <v>116</v>
      </c>
      <c r="N94" s="102" t="str">
        <f t="shared" si="7"/>
        <v/>
      </c>
      <c r="O94" s="57" t="s">
        <v>169</v>
      </c>
      <c r="P94" s="75"/>
      <c r="Q94" s="94" t="s">
        <v>246</v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spans="1:29" x14ac:dyDescent="0.3">
      <c r="A95" s="1">
        <v>2024</v>
      </c>
      <c r="B95" s="1" t="s">
        <v>35</v>
      </c>
      <c r="C95" s="41" t="s">
        <v>247</v>
      </c>
      <c r="D95" s="480" t="s">
        <v>189</v>
      </c>
      <c r="E95" s="480"/>
      <c r="F95" s="480"/>
      <c r="H95" s="1" t="s">
        <v>248</v>
      </c>
      <c r="I95" s="1" t="s">
        <v>115</v>
      </c>
      <c r="J95" s="1" t="s">
        <v>48</v>
      </c>
      <c r="K95" s="8"/>
      <c r="L95" s="14">
        <v>5000000</v>
      </c>
      <c r="M95" s="14">
        <v>5000000</v>
      </c>
      <c r="N95" s="102">
        <f t="shared" si="7"/>
        <v>1</v>
      </c>
      <c r="O95" s="57" t="s">
        <v>169</v>
      </c>
      <c r="P95" s="75" t="s">
        <v>35</v>
      </c>
      <c r="Q95" s="94" t="s">
        <v>249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9" x14ac:dyDescent="0.3">
      <c r="A96" s="1">
        <v>2024</v>
      </c>
      <c r="B96" s="1" t="s">
        <v>35</v>
      </c>
      <c r="C96" s="41" t="s">
        <v>250</v>
      </c>
      <c r="D96" s="480" t="s">
        <v>189</v>
      </c>
      <c r="E96" s="480"/>
      <c r="F96" s="480"/>
      <c r="H96" s="1" t="s">
        <v>251</v>
      </c>
      <c r="I96" s="1" t="s">
        <v>252</v>
      </c>
      <c r="J96" s="1" t="s">
        <v>48</v>
      </c>
      <c r="L96" s="14">
        <v>7000000</v>
      </c>
      <c r="M96" s="14">
        <v>7000000</v>
      </c>
      <c r="N96" s="102">
        <f t="shared" si="7"/>
        <v>1</v>
      </c>
      <c r="O96" s="57" t="s">
        <v>189</v>
      </c>
      <c r="P96" s="75"/>
      <c r="Q96" s="43" t="s">
        <v>253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9" x14ac:dyDescent="0.3">
      <c r="A97" s="1">
        <v>2024</v>
      </c>
      <c r="C97" s="41" t="s">
        <v>254</v>
      </c>
      <c r="D97" s="480" t="s">
        <v>189</v>
      </c>
      <c r="E97" s="480"/>
      <c r="F97" s="480"/>
      <c r="H97" s="1" t="s">
        <v>255</v>
      </c>
      <c r="I97" s="1" t="s">
        <v>57</v>
      </c>
      <c r="J97" s="1" t="s">
        <v>32</v>
      </c>
      <c r="K97" s="1">
        <v>167</v>
      </c>
      <c r="L97" s="14">
        <v>5000000</v>
      </c>
      <c r="M97" s="14">
        <v>5000000</v>
      </c>
      <c r="N97" s="102">
        <f t="shared" si="7"/>
        <v>1</v>
      </c>
      <c r="O97" s="57" t="s">
        <v>189</v>
      </c>
      <c r="P97" s="75"/>
      <c r="Q97" s="43" t="s">
        <v>256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9" x14ac:dyDescent="0.3">
      <c r="A98" s="1">
        <v>2024</v>
      </c>
      <c r="C98" s="41" t="s">
        <v>257</v>
      </c>
      <c r="D98" s="480" t="s">
        <v>189</v>
      </c>
      <c r="E98" s="480"/>
      <c r="F98" s="480"/>
      <c r="H98" s="1" t="s">
        <v>258</v>
      </c>
      <c r="I98" s="1" t="s">
        <v>215</v>
      </c>
      <c r="J98" s="1" t="s">
        <v>32</v>
      </c>
      <c r="K98" s="1">
        <f>210+29</f>
        <v>239</v>
      </c>
      <c r="L98" s="14">
        <v>8000000</v>
      </c>
      <c r="M98" s="14">
        <v>8000000</v>
      </c>
      <c r="N98" s="102">
        <f t="shared" si="7"/>
        <v>1</v>
      </c>
      <c r="O98" s="57" t="s">
        <v>189</v>
      </c>
      <c r="P98" s="75"/>
      <c r="Q98" s="43" t="s">
        <v>259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9" x14ac:dyDescent="0.3">
      <c r="A99" s="1">
        <v>2024</v>
      </c>
      <c r="B99" s="1" t="s">
        <v>35</v>
      </c>
      <c r="C99" s="41" t="s">
        <v>260</v>
      </c>
      <c r="D99" s="480" t="s">
        <v>189</v>
      </c>
      <c r="E99" s="480"/>
      <c r="F99" s="480"/>
      <c r="H99" s="1" t="s">
        <v>261</v>
      </c>
      <c r="I99" s="1" t="s">
        <v>262</v>
      </c>
      <c r="J99" s="1" t="s">
        <v>32</v>
      </c>
      <c r="K99" s="1">
        <f>181+387</f>
        <v>568</v>
      </c>
      <c r="L99" s="14">
        <v>25000000</v>
      </c>
      <c r="M99" s="14">
        <v>25000000</v>
      </c>
      <c r="N99" s="102">
        <f t="shared" si="7"/>
        <v>1</v>
      </c>
      <c r="O99" s="57" t="s">
        <v>189</v>
      </c>
      <c r="P99" s="75"/>
      <c r="Q99" s="43" t="s">
        <v>263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9" x14ac:dyDescent="0.3">
      <c r="A100" s="1">
        <v>2024</v>
      </c>
      <c r="B100" s="1" t="s">
        <v>35</v>
      </c>
      <c r="C100" s="41" t="s">
        <v>264</v>
      </c>
      <c r="D100" s="480" t="s">
        <v>189</v>
      </c>
      <c r="E100" s="480"/>
      <c r="F100" s="480"/>
      <c r="H100" s="1" t="s">
        <v>265</v>
      </c>
      <c r="I100" s="1" t="s">
        <v>266</v>
      </c>
      <c r="J100" s="1" t="s">
        <v>48</v>
      </c>
      <c r="K100" s="1">
        <v>400</v>
      </c>
      <c r="L100" s="14">
        <v>8500000</v>
      </c>
      <c r="M100" s="14">
        <v>8500000</v>
      </c>
      <c r="N100" s="102">
        <f t="shared" si="7"/>
        <v>1</v>
      </c>
      <c r="O100" s="57" t="s">
        <v>189</v>
      </c>
      <c r="P100" s="75"/>
      <c r="Q100" s="43" t="s">
        <v>267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9" x14ac:dyDescent="0.3">
      <c r="A101" s="1">
        <v>2024</v>
      </c>
      <c r="B101" s="1" t="s">
        <v>35</v>
      </c>
      <c r="C101" s="41" t="s">
        <v>268</v>
      </c>
      <c r="D101" s="480" t="s">
        <v>189</v>
      </c>
      <c r="E101" s="480"/>
      <c r="F101" s="480"/>
      <c r="H101" s="1" t="s">
        <v>269</v>
      </c>
      <c r="I101" s="1" t="s">
        <v>31</v>
      </c>
      <c r="J101" s="1" t="s">
        <v>32</v>
      </c>
      <c r="K101" s="1">
        <v>100</v>
      </c>
      <c r="L101" s="14">
        <v>12000000</v>
      </c>
      <c r="M101" s="14">
        <v>12000000</v>
      </c>
      <c r="N101" s="102">
        <f t="shared" si="7"/>
        <v>1</v>
      </c>
      <c r="O101" s="57" t="s">
        <v>169</v>
      </c>
      <c r="P101" s="75"/>
      <c r="Q101" s="43" t="s">
        <v>270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9" x14ac:dyDescent="0.3">
      <c r="A102" s="1">
        <v>2024</v>
      </c>
      <c r="B102" s="1" t="s">
        <v>35</v>
      </c>
      <c r="C102" s="41" t="s">
        <v>271</v>
      </c>
      <c r="D102" s="480" t="s">
        <v>189</v>
      </c>
      <c r="E102" s="480"/>
      <c r="F102" s="480"/>
      <c r="H102" s="1" t="s">
        <v>272</v>
      </c>
      <c r="I102" s="1" t="s">
        <v>273</v>
      </c>
      <c r="J102" s="1" t="s">
        <v>48</v>
      </c>
      <c r="K102" s="1">
        <v>210</v>
      </c>
      <c r="L102" s="14">
        <v>7500000</v>
      </c>
      <c r="M102" s="14">
        <v>7500000</v>
      </c>
      <c r="N102" s="102">
        <f t="shared" si="7"/>
        <v>1</v>
      </c>
      <c r="O102" s="57" t="s">
        <v>189</v>
      </c>
      <c r="P102" s="75"/>
      <c r="Q102" s="43" t="s">
        <v>274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9" x14ac:dyDescent="0.3">
      <c r="A103" s="1">
        <v>2024</v>
      </c>
      <c r="B103" s="1" t="s">
        <v>35</v>
      </c>
      <c r="C103" s="40" t="s">
        <v>275</v>
      </c>
      <c r="D103" s="480" t="s">
        <v>189</v>
      </c>
      <c r="E103" s="480"/>
      <c r="F103" s="480"/>
      <c r="H103" s="1" t="s">
        <v>276</v>
      </c>
      <c r="I103" s="1" t="s">
        <v>115</v>
      </c>
      <c r="J103" s="1" t="s">
        <v>48</v>
      </c>
      <c r="K103" s="1">
        <v>200</v>
      </c>
      <c r="L103" s="14">
        <v>7000000</v>
      </c>
      <c r="M103" s="14">
        <v>7000000</v>
      </c>
      <c r="N103" s="102">
        <f t="shared" si="7"/>
        <v>1</v>
      </c>
      <c r="O103" s="57" t="s">
        <v>189</v>
      </c>
      <c r="P103" s="75"/>
      <c r="Q103" s="43" t="s">
        <v>134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1:29" x14ac:dyDescent="0.3">
      <c r="A104" s="1">
        <v>2024</v>
      </c>
      <c r="C104" s="41" t="s">
        <v>277</v>
      </c>
      <c r="D104" s="480" t="s">
        <v>189</v>
      </c>
      <c r="E104" s="480"/>
      <c r="F104" s="480"/>
      <c r="H104" s="1" t="s">
        <v>278</v>
      </c>
      <c r="I104" s="1" t="s">
        <v>208</v>
      </c>
      <c r="J104" s="1" t="s">
        <v>48</v>
      </c>
      <c r="K104" s="1">
        <v>490</v>
      </c>
      <c r="L104" s="14">
        <v>25000000</v>
      </c>
      <c r="M104" s="14">
        <v>25000000</v>
      </c>
      <c r="N104" s="102">
        <f t="shared" si="7"/>
        <v>1</v>
      </c>
      <c r="O104" s="57" t="s">
        <v>189</v>
      </c>
      <c r="P104" s="75"/>
      <c r="Q104" s="94" t="s">
        <v>279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1:29" x14ac:dyDescent="0.3">
      <c r="A105" s="1">
        <v>2024</v>
      </c>
      <c r="B105" s="1" t="s">
        <v>35</v>
      </c>
      <c r="C105" s="8" t="s">
        <v>280</v>
      </c>
      <c r="D105" s="480" t="s">
        <v>189</v>
      </c>
      <c r="E105" s="480"/>
      <c r="F105" s="480"/>
      <c r="H105" s="1" t="s">
        <v>281</v>
      </c>
      <c r="I105" s="1" t="s">
        <v>282</v>
      </c>
      <c r="J105" s="1" t="s">
        <v>32</v>
      </c>
      <c r="K105" s="1">
        <f>281+125</f>
        <v>406</v>
      </c>
      <c r="L105" s="33">
        <v>20000000</v>
      </c>
      <c r="M105" s="33">
        <v>20000000</v>
      </c>
      <c r="N105" s="102">
        <f t="shared" si="7"/>
        <v>1</v>
      </c>
      <c r="O105" s="57" t="s">
        <v>189</v>
      </c>
      <c r="P105" s="75" t="s">
        <v>35</v>
      </c>
      <c r="Q105" s="96" t="s">
        <v>283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1:29" x14ac:dyDescent="0.3">
      <c r="A106" s="1">
        <v>2024</v>
      </c>
      <c r="C106" s="8" t="s">
        <v>284</v>
      </c>
      <c r="D106" s="480" t="s">
        <v>189</v>
      </c>
      <c r="E106" s="480"/>
      <c r="F106" s="480"/>
      <c r="H106" s="1" t="s">
        <v>285</v>
      </c>
      <c r="I106" s="1" t="s">
        <v>57</v>
      </c>
      <c r="J106" s="1" t="s">
        <v>48</v>
      </c>
      <c r="K106" s="1">
        <v>674</v>
      </c>
      <c r="L106" s="14">
        <v>5000000</v>
      </c>
      <c r="M106" s="14">
        <v>5000000</v>
      </c>
      <c r="N106" s="102">
        <f t="shared" ref="N106:N136" si="8">IFERROR(IF(AND(L106&lt;&gt;"Market",M106&lt;&gt;"TBD"),M106/L106,""),"")</f>
        <v>1</v>
      </c>
      <c r="O106" s="14" t="s">
        <v>117</v>
      </c>
      <c r="P106" s="73"/>
      <c r="Q106" s="43" t="s">
        <v>286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1:29" x14ac:dyDescent="0.3">
      <c r="A107" s="1">
        <v>2024</v>
      </c>
      <c r="C107" s="8" t="s">
        <v>203</v>
      </c>
      <c r="D107" s="480" t="s">
        <v>189</v>
      </c>
      <c r="E107" s="480"/>
      <c r="F107" s="480"/>
      <c r="H107" s="1" t="s">
        <v>287</v>
      </c>
      <c r="I107" s="1" t="s">
        <v>130</v>
      </c>
      <c r="J107" s="1" t="s">
        <v>48</v>
      </c>
      <c r="K107" s="1">
        <v>200</v>
      </c>
      <c r="L107" s="14">
        <v>3000000</v>
      </c>
      <c r="M107" s="14">
        <v>3000000</v>
      </c>
      <c r="N107" s="102">
        <f t="shared" si="8"/>
        <v>1</v>
      </c>
      <c r="O107" s="57" t="s">
        <v>189</v>
      </c>
      <c r="P107" s="75"/>
      <c r="Q107" s="94" t="s">
        <v>288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1:29" x14ac:dyDescent="0.3">
      <c r="A108" s="1">
        <v>2024</v>
      </c>
      <c r="C108" s="8" t="s">
        <v>289</v>
      </c>
      <c r="D108" s="480" t="s">
        <v>189</v>
      </c>
      <c r="E108" s="480"/>
      <c r="F108" s="480"/>
      <c r="H108" s="1" t="s">
        <v>287</v>
      </c>
      <c r="I108" s="1" t="s">
        <v>130</v>
      </c>
      <c r="J108" s="1" t="s">
        <v>48</v>
      </c>
      <c r="K108" s="1">
        <v>200</v>
      </c>
      <c r="L108" s="14">
        <v>4000000</v>
      </c>
      <c r="M108" s="14">
        <v>4000000</v>
      </c>
      <c r="N108" s="102">
        <f t="shared" si="8"/>
        <v>1</v>
      </c>
      <c r="O108" s="57" t="s">
        <v>189</v>
      </c>
      <c r="P108" s="75"/>
      <c r="Q108" s="94" t="s">
        <v>288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9" x14ac:dyDescent="0.3">
      <c r="A109" s="1">
        <v>2024</v>
      </c>
      <c r="C109" s="8" t="s">
        <v>290</v>
      </c>
      <c r="D109" s="480" t="s">
        <v>189</v>
      </c>
      <c r="E109" s="480"/>
      <c r="F109" s="480"/>
      <c r="H109" s="1" t="s">
        <v>291</v>
      </c>
      <c r="I109" s="1" t="s">
        <v>53</v>
      </c>
      <c r="J109" s="1" t="s">
        <v>48</v>
      </c>
      <c r="K109" s="1">
        <v>136</v>
      </c>
      <c r="L109" s="14">
        <v>16000000</v>
      </c>
      <c r="M109" s="14">
        <v>16000000</v>
      </c>
      <c r="N109" s="102">
        <f t="shared" si="8"/>
        <v>1</v>
      </c>
      <c r="O109" s="57" t="s">
        <v>189</v>
      </c>
      <c r="P109" s="75"/>
      <c r="Q109" s="43" t="s">
        <v>292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9" x14ac:dyDescent="0.3">
      <c r="A110" s="1">
        <v>2024</v>
      </c>
      <c r="C110" s="8" t="s">
        <v>293</v>
      </c>
      <c r="D110" s="480" t="s">
        <v>189</v>
      </c>
      <c r="E110" s="480"/>
      <c r="F110" s="480"/>
      <c r="H110" s="1" t="s">
        <v>294</v>
      </c>
      <c r="I110" s="1" t="s">
        <v>295</v>
      </c>
      <c r="J110" s="1" t="s">
        <v>48</v>
      </c>
      <c r="K110" s="1">
        <v>516</v>
      </c>
      <c r="L110" s="14">
        <v>15000000</v>
      </c>
      <c r="M110" s="14">
        <v>15000000</v>
      </c>
      <c r="N110" s="102">
        <f t="shared" si="8"/>
        <v>1</v>
      </c>
      <c r="O110" s="57" t="s">
        <v>189</v>
      </c>
      <c r="P110" s="75"/>
      <c r="Q110" s="43" t="s">
        <v>296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9" x14ac:dyDescent="0.3">
      <c r="A111" s="1">
        <v>2024</v>
      </c>
      <c r="B111" s="1" t="s">
        <v>35</v>
      </c>
      <c r="C111" s="8" t="s">
        <v>297</v>
      </c>
      <c r="D111" s="480" t="s">
        <v>189</v>
      </c>
      <c r="E111" s="480"/>
      <c r="F111" s="480"/>
      <c r="H111" s="1" t="s">
        <v>298</v>
      </c>
      <c r="I111" s="1" t="s">
        <v>299</v>
      </c>
      <c r="J111" s="1" t="s">
        <v>32</v>
      </c>
      <c r="K111" s="1">
        <v>350</v>
      </c>
      <c r="L111" s="14">
        <v>10000000</v>
      </c>
      <c r="M111" s="14">
        <v>10000000</v>
      </c>
      <c r="N111" s="102">
        <f t="shared" si="8"/>
        <v>1</v>
      </c>
      <c r="O111" s="57" t="s">
        <v>189</v>
      </c>
      <c r="P111" s="75"/>
      <c r="Q111" s="43" t="s">
        <v>300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9" x14ac:dyDescent="0.3">
      <c r="A112" s="1">
        <v>2024</v>
      </c>
      <c r="B112" s="1" t="s">
        <v>35</v>
      </c>
      <c r="C112" s="8" t="s">
        <v>301</v>
      </c>
      <c r="D112" s="480" t="s">
        <v>189</v>
      </c>
      <c r="E112" s="480"/>
      <c r="F112" s="480"/>
      <c r="H112" s="1" t="s">
        <v>302</v>
      </c>
      <c r="I112" s="1" t="s">
        <v>31</v>
      </c>
      <c r="J112" s="1" t="s">
        <v>32</v>
      </c>
      <c r="K112" s="1">
        <v>600</v>
      </c>
      <c r="L112" s="14">
        <v>10900000</v>
      </c>
      <c r="M112" s="14">
        <v>10900000</v>
      </c>
      <c r="N112" s="102">
        <f t="shared" si="8"/>
        <v>1</v>
      </c>
      <c r="O112" s="57" t="s">
        <v>189</v>
      </c>
      <c r="P112" s="75"/>
      <c r="Q112" s="43" t="s">
        <v>303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3">
      <c r="A113" s="1">
        <v>2024</v>
      </c>
      <c r="B113" s="1" t="s">
        <v>35</v>
      </c>
      <c r="C113" s="8" t="s">
        <v>304</v>
      </c>
      <c r="D113" s="480" t="s">
        <v>235</v>
      </c>
      <c r="E113" s="480"/>
      <c r="F113" s="480"/>
      <c r="G113" s="42"/>
      <c r="H113" s="1" t="s">
        <v>305</v>
      </c>
      <c r="I113" s="1" t="s">
        <v>31</v>
      </c>
      <c r="J113" s="1" t="s">
        <v>32</v>
      </c>
      <c r="K113" s="1">
        <v>36</v>
      </c>
      <c r="L113" s="14">
        <v>20000000</v>
      </c>
      <c r="M113" s="14">
        <v>20000000</v>
      </c>
      <c r="N113" s="102">
        <f t="shared" si="8"/>
        <v>1</v>
      </c>
      <c r="O113" s="57" t="s">
        <v>235</v>
      </c>
      <c r="P113" s="75" t="s">
        <v>35</v>
      </c>
      <c r="Q113" s="43" t="s">
        <v>306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3">
      <c r="A114" s="1">
        <v>2024</v>
      </c>
      <c r="B114" s="1" t="s">
        <v>35</v>
      </c>
      <c r="C114" s="8" t="s">
        <v>307</v>
      </c>
      <c r="D114" s="5">
        <v>45379</v>
      </c>
      <c r="E114" s="10">
        <f ca="1">IFERROR(IF(C114="","",IF(($A$1-D114)&gt;45000,"Waiting on Info",$A$1-D114)),"")</f>
        <v>737</v>
      </c>
      <c r="F114" s="5">
        <f>IF(D114="","TBD",7+D114)</f>
        <v>45386</v>
      </c>
      <c r="G114" s="5"/>
      <c r="H114" s="1" t="s">
        <v>308</v>
      </c>
      <c r="I114" s="1" t="s">
        <v>75</v>
      </c>
      <c r="J114" s="1" t="s">
        <v>48</v>
      </c>
      <c r="K114" s="1">
        <v>620</v>
      </c>
      <c r="L114" s="14">
        <v>14000000</v>
      </c>
      <c r="M114" s="14">
        <v>14000000</v>
      </c>
      <c r="N114" s="102">
        <f t="shared" si="8"/>
        <v>1</v>
      </c>
      <c r="O114" s="57" t="s">
        <v>189</v>
      </c>
      <c r="P114" s="75"/>
      <c r="Q114" s="43" t="s">
        <v>309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3">
      <c r="A115" s="1">
        <v>2024</v>
      </c>
      <c r="C115" s="8" t="s">
        <v>310</v>
      </c>
      <c r="D115" s="480" t="s">
        <v>189</v>
      </c>
      <c r="E115" s="480"/>
      <c r="F115" s="480"/>
      <c r="H115" s="1" t="s">
        <v>287</v>
      </c>
      <c r="I115" s="1" t="s">
        <v>130</v>
      </c>
      <c r="J115" s="1" t="s">
        <v>48</v>
      </c>
      <c r="K115" s="1">
        <v>240</v>
      </c>
      <c r="L115" s="14">
        <v>8000000</v>
      </c>
      <c r="M115" s="14">
        <v>8000000</v>
      </c>
      <c r="N115" s="102">
        <f t="shared" si="8"/>
        <v>1</v>
      </c>
      <c r="O115" s="57" t="s">
        <v>189</v>
      </c>
      <c r="P115" s="75"/>
      <c r="Q115" s="43" t="s">
        <v>311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3">
      <c r="A116" s="1">
        <v>2024</v>
      </c>
      <c r="B116" s="1" t="s">
        <v>35</v>
      </c>
      <c r="C116" s="8" t="s">
        <v>312</v>
      </c>
      <c r="D116" s="5">
        <v>45425</v>
      </c>
      <c r="E116" s="10">
        <f ca="1">IFERROR(IF(C116="","",IF(($A$1-D116)&gt;45000,"Waiting on Info",$A$1-D116)),"")</f>
        <v>691</v>
      </c>
      <c r="F116" s="5"/>
      <c r="G116" s="5"/>
      <c r="H116" s="1" t="s">
        <v>313</v>
      </c>
      <c r="I116" s="1" t="s">
        <v>115</v>
      </c>
      <c r="J116" s="1" t="s">
        <v>32</v>
      </c>
      <c r="K116" s="1">
        <f>170+29+63+73+8+22</f>
        <v>365</v>
      </c>
      <c r="L116" s="14" t="s">
        <v>314</v>
      </c>
      <c r="M116" s="14" t="s">
        <v>314</v>
      </c>
      <c r="N116" s="102" t="str">
        <f t="shared" si="8"/>
        <v/>
      </c>
      <c r="O116" s="57" t="s">
        <v>189</v>
      </c>
      <c r="P116" s="75"/>
      <c r="Q116" s="43" t="s">
        <v>315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3">
      <c r="A117" s="1">
        <v>2024</v>
      </c>
      <c r="B117" s="1" t="s">
        <v>35</v>
      </c>
      <c r="C117" s="113" t="s">
        <v>316</v>
      </c>
      <c r="D117" s="481" t="s">
        <v>186</v>
      </c>
      <c r="E117" s="481"/>
      <c r="F117" s="481"/>
      <c r="H117" s="1" t="s">
        <v>317</v>
      </c>
      <c r="I117" s="1" t="s">
        <v>252</v>
      </c>
      <c r="J117" s="1" t="s">
        <v>48</v>
      </c>
      <c r="K117" s="1">
        <v>210</v>
      </c>
      <c r="L117" s="33">
        <v>10000000</v>
      </c>
      <c r="M117" s="33">
        <v>10000000</v>
      </c>
      <c r="N117" s="102">
        <f t="shared" si="8"/>
        <v>1</v>
      </c>
      <c r="O117" s="57" t="s">
        <v>189</v>
      </c>
      <c r="P117" s="75" t="s">
        <v>35</v>
      </c>
      <c r="Q117" s="43" t="s">
        <v>318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3">
      <c r="A118" s="1">
        <v>2023</v>
      </c>
      <c r="B118" s="1" t="s">
        <v>35</v>
      </c>
      <c r="C118" s="21" t="s">
        <v>319</v>
      </c>
      <c r="D118" s="5">
        <v>45281</v>
      </c>
      <c r="E118" s="10">
        <f ca="1">IFERROR(IF(($A$1-D118)&gt;45000,"Waiting on Info",$A$1-D118),"")</f>
        <v>835</v>
      </c>
      <c r="F118" s="1" t="s">
        <v>51</v>
      </c>
      <c r="H118" s="1" t="s">
        <v>317</v>
      </c>
      <c r="I118" s="1" t="s">
        <v>252</v>
      </c>
      <c r="J118" s="1" t="s">
        <v>48</v>
      </c>
      <c r="K118" s="1">
        <v>100</v>
      </c>
      <c r="L118" s="33">
        <v>7500000</v>
      </c>
      <c r="M118" s="33">
        <v>7500000</v>
      </c>
      <c r="N118" s="102">
        <f t="shared" si="8"/>
        <v>1</v>
      </c>
      <c r="O118" s="57" t="s">
        <v>189</v>
      </c>
      <c r="P118" s="75" t="s">
        <v>35</v>
      </c>
      <c r="Q118" s="96" t="s">
        <v>320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3">
      <c r="A119" s="1">
        <v>2024</v>
      </c>
      <c r="B119" s="1" t="s">
        <v>35</v>
      </c>
      <c r="C119" s="113" t="s">
        <v>321</v>
      </c>
      <c r="D119" s="481" t="s">
        <v>186</v>
      </c>
      <c r="E119" s="481"/>
      <c r="F119" s="481"/>
      <c r="H119" s="1" t="s">
        <v>317</v>
      </c>
      <c r="I119" s="1" t="s">
        <v>252</v>
      </c>
      <c r="J119" s="1" t="s">
        <v>48</v>
      </c>
      <c r="K119" s="1">
        <v>150</v>
      </c>
      <c r="L119" s="33">
        <v>7500000</v>
      </c>
      <c r="M119" s="33">
        <v>7500000</v>
      </c>
      <c r="N119" s="102">
        <f t="shared" si="8"/>
        <v>1</v>
      </c>
      <c r="O119" s="57" t="s">
        <v>189</v>
      </c>
      <c r="P119" s="75"/>
      <c r="Q119" s="43" t="s">
        <v>322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3">
      <c r="A120" s="1">
        <v>2024</v>
      </c>
      <c r="B120" s="1" t="s">
        <v>35</v>
      </c>
      <c r="C120" s="8" t="s">
        <v>323</v>
      </c>
      <c r="D120" s="5">
        <v>45434</v>
      </c>
      <c r="E120" s="10">
        <f ca="1">IFERROR(IF(C120="","",IF(($A$1-D120)&gt;45000,"Waiting on Info",$A$1-D120)),"")</f>
        <v>682</v>
      </c>
      <c r="F120" s="5">
        <v>45450</v>
      </c>
      <c r="G120" s="5"/>
      <c r="H120" s="1" t="s">
        <v>324</v>
      </c>
      <c r="I120" s="1" t="s">
        <v>325</v>
      </c>
      <c r="J120" s="1" t="s">
        <v>32</v>
      </c>
      <c r="K120" s="1">
        <v>200</v>
      </c>
      <c r="L120" s="14" t="s">
        <v>314</v>
      </c>
      <c r="M120" s="14" t="s">
        <v>314</v>
      </c>
      <c r="N120" s="102" t="str">
        <f t="shared" si="8"/>
        <v/>
      </c>
      <c r="O120" s="57" t="s">
        <v>189</v>
      </c>
      <c r="P120" s="75"/>
      <c r="Q120" s="43" t="s">
        <v>326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3">
      <c r="A121" s="1">
        <v>2024</v>
      </c>
      <c r="B121" s="1" t="s">
        <v>35</v>
      </c>
      <c r="C121" s="8" t="s">
        <v>327</v>
      </c>
      <c r="D121" s="5">
        <v>45428</v>
      </c>
      <c r="E121" s="10">
        <f ca="1">IFERROR(IF(C121="","",IF(($A$1-D121)&gt;45000,"Waiting on Info",$A$1-D121)),"")</f>
        <v>688</v>
      </c>
      <c r="F121" s="5" t="s">
        <v>42</v>
      </c>
      <c r="G121" s="5"/>
      <c r="H121" s="1" t="s">
        <v>328</v>
      </c>
      <c r="I121" s="1" t="s">
        <v>75</v>
      </c>
      <c r="J121" s="1" t="s">
        <v>32</v>
      </c>
      <c r="K121" s="1">
        <f>126+100</f>
        <v>226</v>
      </c>
      <c r="L121" s="14">
        <v>2400000</v>
      </c>
      <c r="M121" s="14">
        <v>2400000</v>
      </c>
      <c r="N121" s="102">
        <f t="shared" si="8"/>
        <v>1</v>
      </c>
      <c r="O121" s="57" t="s">
        <v>169</v>
      </c>
      <c r="P121" s="75" t="s">
        <v>35</v>
      </c>
      <c r="Q121" s="43" t="s">
        <v>329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3">
      <c r="A122" s="1">
        <v>2024</v>
      </c>
      <c r="B122" s="1" t="s">
        <v>35</v>
      </c>
      <c r="C122" s="8" t="s">
        <v>330</v>
      </c>
      <c r="D122" s="481" t="s">
        <v>186</v>
      </c>
      <c r="E122" s="481"/>
      <c r="F122" s="481"/>
      <c r="G122" s="5"/>
      <c r="H122" s="1" t="s">
        <v>331</v>
      </c>
      <c r="I122" s="1" t="s">
        <v>31</v>
      </c>
      <c r="J122" s="1" t="s">
        <v>48</v>
      </c>
      <c r="K122" s="1">
        <v>390</v>
      </c>
      <c r="L122" s="14">
        <v>25000000</v>
      </c>
      <c r="M122" s="14">
        <v>25000000</v>
      </c>
      <c r="N122" s="102">
        <f t="shared" si="8"/>
        <v>1</v>
      </c>
      <c r="O122" s="57" t="s">
        <v>169</v>
      </c>
      <c r="P122" s="75"/>
      <c r="Q122" s="43" t="s">
        <v>332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3">
      <c r="A123" s="1">
        <v>2024</v>
      </c>
      <c r="C123" s="8" t="s">
        <v>333</v>
      </c>
      <c r="D123" s="5">
        <v>45465</v>
      </c>
      <c r="E123" s="10">
        <f ca="1">IFERROR(IF(C123="","",IF(($A$1-D123)&gt;45000,"Waiting on Info",$A$1-D123)),"")</f>
        <v>651</v>
      </c>
      <c r="F123" s="5"/>
      <c r="G123" s="5"/>
      <c r="H123" s="1" t="s">
        <v>334</v>
      </c>
      <c r="I123" s="1" t="s">
        <v>335</v>
      </c>
      <c r="J123" s="1" t="s">
        <v>32</v>
      </c>
      <c r="L123" s="14" t="s">
        <v>42</v>
      </c>
      <c r="M123" s="14" t="s">
        <v>42</v>
      </c>
      <c r="N123" s="102" t="str">
        <f t="shared" si="8"/>
        <v/>
      </c>
      <c r="O123" s="57" t="s">
        <v>189</v>
      </c>
      <c r="P123" s="75"/>
      <c r="Q123" s="43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3">
      <c r="A124" s="1">
        <v>2024</v>
      </c>
      <c r="B124" s="1" t="s">
        <v>35</v>
      </c>
      <c r="C124" s="8" t="s">
        <v>336</v>
      </c>
      <c r="D124" s="5">
        <v>45400</v>
      </c>
      <c r="E124" s="10">
        <f ca="1">IFERROR(IF(C124="","",IF(($A$1-D124)&gt;45000,"Waiting on Info",$A$1-D124)),"")</f>
        <v>716</v>
      </c>
      <c r="F124" s="5" t="s">
        <v>42</v>
      </c>
      <c r="G124" s="5"/>
      <c r="H124" s="1" t="s">
        <v>337</v>
      </c>
      <c r="I124" s="1" t="s">
        <v>94</v>
      </c>
      <c r="J124" s="1" t="s">
        <v>32</v>
      </c>
      <c r="K124" s="1">
        <v>236</v>
      </c>
      <c r="L124" s="14">
        <v>15000000</v>
      </c>
      <c r="M124" s="14">
        <v>15000000</v>
      </c>
      <c r="N124" s="102">
        <f t="shared" si="8"/>
        <v>1</v>
      </c>
      <c r="O124" s="57" t="s">
        <v>189</v>
      </c>
      <c r="P124" s="75"/>
      <c r="Q124" s="43" t="s">
        <v>338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3">
      <c r="A125" s="1">
        <v>2024</v>
      </c>
      <c r="B125" s="1" t="s">
        <v>35</v>
      </c>
      <c r="C125" s="8" t="s">
        <v>339</v>
      </c>
      <c r="D125" s="5">
        <v>45446</v>
      </c>
      <c r="E125" s="10">
        <f ca="1">IFERROR(IF(C125="","",IF(($A$1-D125)&gt;45000,"Waiting on Info",$A$1-D125)),"")</f>
        <v>670</v>
      </c>
      <c r="F125" s="5"/>
      <c r="G125" s="5"/>
      <c r="H125" s="1" t="s">
        <v>340</v>
      </c>
      <c r="I125" s="1" t="s">
        <v>31</v>
      </c>
      <c r="J125" s="1" t="s">
        <v>48</v>
      </c>
      <c r="K125" s="1">
        <v>48</v>
      </c>
      <c r="L125" s="14">
        <v>6000000</v>
      </c>
      <c r="M125" s="14">
        <v>6000000</v>
      </c>
      <c r="N125" s="102">
        <f t="shared" si="8"/>
        <v>1</v>
      </c>
      <c r="O125" s="57" t="s">
        <v>169</v>
      </c>
      <c r="P125" s="75"/>
      <c r="Q125" s="43" t="s">
        <v>341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3">
      <c r="A126" s="1">
        <v>2024</v>
      </c>
      <c r="B126" s="1" t="s">
        <v>35</v>
      </c>
      <c r="C126" s="8" t="s">
        <v>342</v>
      </c>
      <c r="D126" s="481" t="s">
        <v>186</v>
      </c>
      <c r="E126" s="481"/>
      <c r="F126" s="481"/>
      <c r="G126" s="5"/>
      <c r="H126" s="1" t="s">
        <v>269</v>
      </c>
      <c r="I126" s="1" t="s">
        <v>31</v>
      </c>
      <c r="J126" s="1" t="s">
        <v>32</v>
      </c>
      <c r="K126" s="1">
        <f>20+156</f>
        <v>176</v>
      </c>
      <c r="L126" s="14">
        <v>8500000</v>
      </c>
      <c r="M126" s="14">
        <v>8500000</v>
      </c>
      <c r="N126" s="102">
        <f t="shared" si="8"/>
        <v>1</v>
      </c>
      <c r="O126" s="57" t="s">
        <v>189</v>
      </c>
      <c r="P126" s="75"/>
      <c r="Q126" s="43" t="s">
        <v>343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3">
      <c r="A127" s="1">
        <v>2024</v>
      </c>
      <c r="B127" s="1" t="s">
        <v>35</v>
      </c>
      <c r="C127" s="8" t="s">
        <v>344</v>
      </c>
      <c r="D127" s="5">
        <v>45479</v>
      </c>
      <c r="E127" s="10">
        <f ca="1">IFERROR(IF(C127="","",IF(($A$1-D127)&gt;45000,"Waiting on Info",$A$1-D127)),"")</f>
        <v>637</v>
      </c>
      <c r="F127" s="5"/>
      <c r="G127" s="5"/>
      <c r="H127" s="1" t="s">
        <v>345</v>
      </c>
      <c r="I127" s="1" t="s">
        <v>299</v>
      </c>
      <c r="J127" s="1" t="s">
        <v>48</v>
      </c>
      <c r="K127" s="60">
        <v>266</v>
      </c>
      <c r="L127" s="14">
        <v>11500000</v>
      </c>
      <c r="M127" s="14">
        <v>11500000</v>
      </c>
      <c r="N127" s="102">
        <f t="shared" si="8"/>
        <v>1</v>
      </c>
      <c r="O127" s="57" t="s">
        <v>189</v>
      </c>
      <c r="P127" s="75"/>
      <c r="Q127" s="43" t="s">
        <v>346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3">
      <c r="A128" s="1">
        <v>2024</v>
      </c>
      <c r="B128" s="1" t="s">
        <v>35</v>
      </c>
      <c r="C128" s="8" t="s">
        <v>347</v>
      </c>
      <c r="D128" s="5">
        <v>45489</v>
      </c>
      <c r="E128" s="10">
        <f ca="1">IFERROR(IF(C128="","",IF(($A$1-D128)&gt;45000,"Waiting on Info",$A$1-D128)),"")</f>
        <v>627</v>
      </c>
      <c r="F128" s="5"/>
      <c r="G128" s="5"/>
      <c r="H128" s="1" t="s">
        <v>348</v>
      </c>
      <c r="I128" s="1" t="s">
        <v>299</v>
      </c>
      <c r="J128" s="1" t="s">
        <v>32</v>
      </c>
      <c r="K128" s="60">
        <v>212</v>
      </c>
      <c r="L128" s="14">
        <v>8000000</v>
      </c>
      <c r="M128" s="14">
        <v>8000000</v>
      </c>
      <c r="N128" s="102">
        <f t="shared" si="8"/>
        <v>1</v>
      </c>
      <c r="O128" s="57" t="s">
        <v>169</v>
      </c>
      <c r="P128" s="75"/>
      <c r="Q128" s="43" t="s">
        <v>349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9" x14ac:dyDescent="0.3">
      <c r="A129" s="1">
        <v>2024</v>
      </c>
      <c r="B129" s="1" t="s">
        <v>35</v>
      </c>
      <c r="C129" s="114" t="s">
        <v>350</v>
      </c>
      <c r="D129" s="5">
        <v>45488</v>
      </c>
      <c r="E129" s="10">
        <f ca="1">IFERROR(IF(C129="","",IF(($A$1-D129)&gt;45000,"Waiting on Info",$A$1-D129)),"")</f>
        <v>628</v>
      </c>
      <c r="F129" s="5"/>
      <c r="H129" s="1" t="s">
        <v>291</v>
      </c>
      <c r="I129" s="1" t="s">
        <v>53</v>
      </c>
      <c r="J129" s="1" t="s">
        <v>32</v>
      </c>
      <c r="K129" s="60">
        <v>90</v>
      </c>
      <c r="L129" s="14">
        <v>7500000</v>
      </c>
      <c r="M129" s="14">
        <v>7500000</v>
      </c>
      <c r="N129" s="102">
        <f t="shared" si="8"/>
        <v>1</v>
      </c>
      <c r="O129" s="57" t="s">
        <v>189</v>
      </c>
      <c r="P129" s="75"/>
      <c r="Q129" s="43" t="s">
        <v>351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9" x14ac:dyDescent="0.3">
      <c r="A130" s="1">
        <v>2024</v>
      </c>
      <c r="B130" s="1" t="s">
        <v>35</v>
      </c>
      <c r="C130" s="8" t="s">
        <v>352</v>
      </c>
      <c r="D130" s="5">
        <v>45491</v>
      </c>
      <c r="E130" s="10">
        <f ca="1">IFERROR(IF(C130="","",IF(($A$1-D130)&gt;45000,"Waiting on Info",$A$1-D130)),"")</f>
        <v>625</v>
      </c>
      <c r="F130" s="5">
        <v>45537</v>
      </c>
      <c r="H130" s="1" t="s">
        <v>353</v>
      </c>
      <c r="I130" s="1" t="s">
        <v>31</v>
      </c>
      <c r="J130" s="1" t="s">
        <v>32</v>
      </c>
      <c r="K130" s="60">
        <v>105</v>
      </c>
      <c r="L130" s="14">
        <v>65000000</v>
      </c>
      <c r="M130" s="14">
        <v>65000000</v>
      </c>
      <c r="N130" s="102">
        <f t="shared" si="8"/>
        <v>1</v>
      </c>
      <c r="O130" s="57" t="s">
        <v>189</v>
      </c>
      <c r="P130" s="75"/>
      <c r="Q130" s="43" t="s">
        <v>354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9" x14ac:dyDescent="0.3">
      <c r="A131" s="1">
        <v>2024</v>
      </c>
      <c r="B131" s="1" t="s">
        <v>35</v>
      </c>
      <c r="C131" s="8" t="s">
        <v>355</v>
      </c>
      <c r="D131" s="480" t="s">
        <v>189</v>
      </c>
      <c r="E131" s="480"/>
      <c r="F131" s="480"/>
      <c r="H131" s="1" t="s">
        <v>356</v>
      </c>
      <c r="I131" s="1" t="s">
        <v>31</v>
      </c>
      <c r="J131" s="1" t="s">
        <v>32</v>
      </c>
      <c r="K131" s="60">
        <v>126</v>
      </c>
      <c r="L131" s="14" t="s">
        <v>42</v>
      </c>
      <c r="M131" s="14" t="s">
        <v>42</v>
      </c>
      <c r="N131" s="102" t="str">
        <f t="shared" si="8"/>
        <v/>
      </c>
      <c r="O131" s="57" t="s">
        <v>169</v>
      </c>
      <c r="P131" s="75"/>
      <c r="Q131" s="43" t="s">
        <v>357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9" x14ac:dyDescent="0.3">
      <c r="A132" s="1">
        <v>2024</v>
      </c>
      <c r="B132" s="1" t="s">
        <v>35</v>
      </c>
      <c r="C132" s="8" t="s">
        <v>358</v>
      </c>
      <c r="D132" s="5">
        <v>45506</v>
      </c>
      <c r="E132" s="10">
        <f ca="1">IFERROR(IF(C132="","",IF(($A$1-D132)&gt;45000,"Waiting on Info",$A$1-D132)),"")</f>
        <v>610</v>
      </c>
      <c r="F132" s="5"/>
      <c r="H132" s="1" t="s">
        <v>80</v>
      </c>
      <c r="I132" s="1" t="s">
        <v>31</v>
      </c>
      <c r="J132" s="1" t="s">
        <v>32</v>
      </c>
      <c r="K132" s="1">
        <v>105</v>
      </c>
      <c r="L132" s="14">
        <v>8000000</v>
      </c>
      <c r="M132" s="14">
        <v>8000000</v>
      </c>
      <c r="N132" s="102">
        <f t="shared" si="8"/>
        <v>1</v>
      </c>
      <c r="O132" s="57" t="s">
        <v>359</v>
      </c>
      <c r="P132" s="75"/>
      <c r="Q132" s="43" t="s">
        <v>360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9" x14ac:dyDescent="0.3">
      <c r="A133" s="1">
        <v>2024</v>
      </c>
      <c r="C133" s="8" t="s">
        <v>361</v>
      </c>
      <c r="D133" s="5">
        <v>45518</v>
      </c>
      <c r="E133" s="10">
        <f ca="1">IFERROR(IF(C133="","",IF(($A$1-D133)&gt;45000,"Waiting on Info",$A$1-D133)),"")</f>
        <v>598</v>
      </c>
      <c r="F133" s="5"/>
      <c r="H133" s="1" t="s">
        <v>362</v>
      </c>
      <c r="I133" s="1" t="s">
        <v>57</v>
      </c>
      <c r="J133" s="1" t="s">
        <v>32</v>
      </c>
      <c r="K133" s="1">
        <v>209</v>
      </c>
      <c r="L133" s="14">
        <v>150000</v>
      </c>
      <c r="M133" s="14">
        <v>150000</v>
      </c>
      <c r="N133" s="102">
        <f t="shared" si="8"/>
        <v>1</v>
      </c>
      <c r="O133" s="85" t="s">
        <v>189</v>
      </c>
      <c r="P133" s="83"/>
      <c r="Q133" s="97" t="s">
        <v>363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9" x14ac:dyDescent="0.3">
      <c r="A134" s="1">
        <v>2024</v>
      </c>
      <c r="C134" s="8" t="s">
        <v>364</v>
      </c>
      <c r="D134" s="480" t="s">
        <v>189</v>
      </c>
      <c r="E134" s="480"/>
      <c r="F134" s="480"/>
      <c r="H134" s="1" t="s">
        <v>365</v>
      </c>
      <c r="I134" s="1" t="s">
        <v>31</v>
      </c>
      <c r="J134" s="1" t="s">
        <v>32</v>
      </c>
      <c r="K134" s="1" t="s">
        <v>116</v>
      </c>
      <c r="L134" s="14" t="s">
        <v>42</v>
      </c>
      <c r="M134" s="14" t="s">
        <v>42</v>
      </c>
      <c r="N134" s="102" t="str">
        <f t="shared" si="8"/>
        <v/>
      </c>
      <c r="O134" s="85" t="s">
        <v>189</v>
      </c>
      <c r="P134" s="83"/>
      <c r="Q134" s="97" t="s">
        <v>366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9" x14ac:dyDescent="0.3">
      <c r="A135" s="1">
        <v>2024</v>
      </c>
      <c r="C135" s="8" t="s">
        <v>367</v>
      </c>
      <c r="D135" s="480" t="s">
        <v>189</v>
      </c>
      <c r="E135" s="480"/>
      <c r="F135" s="480"/>
      <c r="H135" s="1" t="s">
        <v>368</v>
      </c>
      <c r="I135" s="1" t="s">
        <v>31</v>
      </c>
      <c r="J135" s="1" t="s">
        <v>32</v>
      </c>
      <c r="K135" s="1" t="s">
        <v>116</v>
      </c>
      <c r="L135" s="14">
        <v>7000000</v>
      </c>
      <c r="M135" s="14">
        <v>7000000</v>
      </c>
      <c r="N135" s="102">
        <f t="shared" si="8"/>
        <v>1</v>
      </c>
      <c r="O135" s="91" t="s">
        <v>169</v>
      </c>
      <c r="P135" s="83"/>
      <c r="Q135" s="97" t="s">
        <v>369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1:29" x14ac:dyDescent="0.3">
      <c r="A136" s="1">
        <v>2024</v>
      </c>
      <c r="C136" s="8" t="s">
        <v>370</v>
      </c>
      <c r="D136" s="480" t="s">
        <v>189</v>
      </c>
      <c r="E136" s="480"/>
      <c r="F136" s="480"/>
      <c r="H136" s="1" t="s">
        <v>371</v>
      </c>
      <c r="I136" s="1" t="s">
        <v>31</v>
      </c>
      <c r="J136" s="1" t="s">
        <v>32</v>
      </c>
      <c r="K136" s="1">
        <v>237</v>
      </c>
      <c r="L136" s="14">
        <v>7500000</v>
      </c>
      <c r="M136" s="14">
        <v>7500000</v>
      </c>
      <c r="N136" s="102">
        <f t="shared" si="8"/>
        <v>1</v>
      </c>
      <c r="O136" s="85" t="s">
        <v>189</v>
      </c>
      <c r="P136" s="72"/>
      <c r="Q136" s="94" t="s">
        <v>372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9" x14ac:dyDescent="0.3">
      <c r="A137" s="1">
        <v>2024</v>
      </c>
      <c r="B137" s="1" t="s">
        <v>35</v>
      </c>
      <c r="C137" s="8" t="s">
        <v>373</v>
      </c>
      <c r="D137" s="5">
        <v>45483</v>
      </c>
      <c r="E137" s="10" t="s">
        <v>189</v>
      </c>
      <c r="F137" s="5"/>
      <c r="H137" s="1" t="s">
        <v>374</v>
      </c>
      <c r="I137" s="1" t="s">
        <v>115</v>
      </c>
      <c r="J137" s="1" t="s">
        <v>32</v>
      </c>
      <c r="K137" s="60">
        <v>1100</v>
      </c>
      <c r="L137" s="14">
        <v>13500000</v>
      </c>
      <c r="M137" s="14">
        <v>13500000</v>
      </c>
      <c r="N137" s="102">
        <f t="shared" ref="N137:N163" si="9">IFERROR(IF(AND(L137&lt;&gt;"Market",M137&lt;&gt;"TBD"),M137/L137,""),"")</f>
        <v>1</v>
      </c>
      <c r="O137" s="85" t="s">
        <v>189</v>
      </c>
      <c r="P137" s="83" t="s">
        <v>35</v>
      </c>
      <c r="Q137" s="97" t="s">
        <v>375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9" x14ac:dyDescent="0.3">
      <c r="A138" s="1">
        <v>2024</v>
      </c>
      <c r="C138" s="8" t="s">
        <v>376</v>
      </c>
      <c r="D138" s="5">
        <v>45559</v>
      </c>
      <c r="E138" s="10" t="s">
        <v>189</v>
      </c>
      <c r="F138" s="5"/>
      <c r="H138" s="1" t="s">
        <v>82</v>
      </c>
      <c r="I138" s="1" t="s">
        <v>31</v>
      </c>
      <c r="J138" s="1" t="s">
        <v>32</v>
      </c>
      <c r="K138" s="1">
        <v>155</v>
      </c>
      <c r="L138" s="14">
        <v>6200000</v>
      </c>
      <c r="M138" s="14">
        <v>6200000</v>
      </c>
      <c r="N138" s="102">
        <f t="shared" si="9"/>
        <v>1</v>
      </c>
      <c r="O138" s="85" t="s">
        <v>189</v>
      </c>
      <c r="P138" s="83"/>
      <c r="Q138" s="97" t="s">
        <v>377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9" x14ac:dyDescent="0.3">
      <c r="A139" s="1">
        <v>2024</v>
      </c>
      <c r="B139" s="1" t="s">
        <v>35</v>
      </c>
      <c r="C139" s="8" t="s">
        <v>378</v>
      </c>
      <c r="D139" s="5">
        <v>45515</v>
      </c>
      <c r="E139" s="10" t="s">
        <v>189</v>
      </c>
      <c r="F139" s="5"/>
      <c r="H139" s="1" t="s">
        <v>379</v>
      </c>
      <c r="I139" s="1" t="s">
        <v>115</v>
      </c>
      <c r="J139" s="1" t="s">
        <v>48</v>
      </c>
      <c r="K139" s="1">
        <v>550</v>
      </c>
      <c r="L139" s="14">
        <v>15000000</v>
      </c>
      <c r="M139" s="14">
        <v>15000000</v>
      </c>
      <c r="N139" s="102">
        <f t="shared" si="9"/>
        <v>1</v>
      </c>
      <c r="O139" s="85" t="s">
        <v>189</v>
      </c>
      <c r="P139" s="83" t="s">
        <v>35</v>
      </c>
      <c r="Q139" s="97" t="s">
        <v>380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9" x14ac:dyDescent="0.3">
      <c r="A140" s="1">
        <v>2024</v>
      </c>
      <c r="B140" s="1" t="s">
        <v>35</v>
      </c>
      <c r="C140" s="8" t="s">
        <v>381</v>
      </c>
      <c r="D140" s="5">
        <v>45552</v>
      </c>
      <c r="E140" s="10" t="s">
        <v>189</v>
      </c>
      <c r="F140" s="5"/>
      <c r="G140" s="10" t="str">
        <f t="shared" ref="G140:G160" si="10">IFERROR(IF(F140="","",F140-$A$1),"n/a")</f>
        <v/>
      </c>
      <c r="H140" s="1" t="s">
        <v>382</v>
      </c>
      <c r="I140" s="1" t="s">
        <v>122</v>
      </c>
      <c r="J140" s="1" t="s">
        <v>32</v>
      </c>
      <c r="K140" s="1">
        <v>496</v>
      </c>
      <c r="L140" s="14">
        <v>17500000</v>
      </c>
      <c r="M140" s="14">
        <v>17500000</v>
      </c>
      <c r="N140" s="102">
        <f t="shared" si="9"/>
        <v>1</v>
      </c>
      <c r="O140" s="85" t="s">
        <v>189</v>
      </c>
      <c r="P140" s="83"/>
      <c r="Q140" s="97" t="s">
        <v>383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9" x14ac:dyDescent="0.3">
      <c r="A141" s="1">
        <v>2024</v>
      </c>
      <c r="C141" s="8" t="s">
        <v>384</v>
      </c>
      <c r="D141" s="480" t="s">
        <v>189</v>
      </c>
      <c r="E141" s="480"/>
      <c r="F141" s="480"/>
      <c r="G141" s="10" t="str">
        <f t="shared" si="10"/>
        <v/>
      </c>
      <c r="H141" s="1" t="s">
        <v>385</v>
      </c>
      <c r="I141" s="1" t="s">
        <v>75</v>
      </c>
      <c r="J141" s="1" t="s">
        <v>32</v>
      </c>
      <c r="K141" s="1">
        <v>60</v>
      </c>
      <c r="L141" s="14">
        <v>5000000</v>
      </c>
      <c r="M141" s="14">
        <v>5000000</v>
      </c>
      <c r="N141" s="102">
        <f t="shared" si="9"/>
        <v>1</v>
      </c>
      <c r="O141" s="85" t="s">
        <v>189</v>
      </c>
      <c r="P141" s="83"/>
      <c r="Q141" s="97" t="s">
        <v>386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9" x14ac:dyDescent="0.3">
      <c r="A142" s="1">
        <v>2024</v>
      </c>
      <c r="B142" s="1" t="s">
        <v>35</v>
      </c>
      <c r="C142" s="8" t="s">
        <v>387</v>
      </c>
      <c r="D142" s="5">
        <v>45539</v>
      </c>
      <c r="E142" s="10" t="s">
        <v>189</v>
      </c>
      <c r="F142" s="5"/>
      <c r="G142" s="10" t="str">
        <f t="shared" si="10"/>
        <v/>
      </c>
      <c r="H142" s="1" t="s">
        <v>388</v>
      </c>
      <c r="I142" s="1" t="s">
        <v>31</v>
      </c>
      <c r="J142" s="1" t="s">
        <v>32</v>
      </c>
      <c r="K142" s="1">
        <v>380</v>
      </c>
      <c r="L142" s="14">
        <v>10000000</v>
      </c>
      <c r="M142" s="14">
        <v>10000000</v>
      </c>
      <c r="N142" s="102">
        <f t="shared" si="9"/>
        <v>1</v>
      </c>
      <c r="O142" s="85" t="s">
        <v>189</v>
      </c>
      <c r="P142" s="83"/>
      <c r="Q142" s="97" t="s">
        <v>389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9" x14ac:dyDescent="0.3">
      <c r="A143" s="1">
        <v>2024</v>
      </c>
      <c r="C143" s="8" t="s">
        <v>390</v>
      </c>
      <c r="D143" s="480" t="s">
        <v>189</v>
      </c>
      <c r="E143" s="480"/>
      <c r="F143" s="480"/>
      <c r="G143" s="10" t="str">
        <f t="shared" si="10"/>
        <v/>
      </c>
      <c r="H143" s="1" t="s">
        <v>251</v>
      </c>
      <c r="I143" s="1" t="s">
        <v>252</v>
      </c>
      <c r="J143" s="1" t="s">
        <v>48</v>
      </c>
      <c r="K143" s="1">
        <v>200</v>
      </c>
      <c r="L143" s="14">
        <v>17000000</v>
      </c>
      <c r="M143" s="14">
        <v>17000000</v>
      </c>
      <c r="N143" s="102">
        <f t="shared" si="9"/>
        <v>1</v>
      </c>
      <c r="O143" s="85" t="s">
        <v>189</v>
      </c>
      <c r="P143" s="83"/>
      <c r="Q143" s="97" t="s">
        <v>391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9" x14ac:dyDescent="0.3">
      <c r="A144" s="1">
        <v>2024</v>
      </c>
      <c r="C144" s="8" t="s">
        <v>392</v>
      </c>
      <c r="D144" s="480" t="s">
        <v>189</v>
      </c>
      <c r="E144" s="480"/>
      <c r="F144" s="480"/>
      <c r="G144" s="10" t="str">
        <f t="shared" si="10"/>
        <v/>
      </c>
      <c r="H144" s="1" t="s">
        <v>393</v>
      </c>
      <c r="I144" s="1" t="s">
        <v>57</v>
      </c>
      <c r="J144" s="1" t="s">
        <v>48</v>
      </c>
      <c r="K144" s="1" t="s">
        <v>42</v>
      </c>
      <c r="L144" s="14" t="s">
        <v>42</v>
      </c>
      <c r="M144" s="14" t="s">
        <v>42</v>
      </c>
      <c r="N144" s="102" t="str">
        <f t="shared" si="9"/>
        <v/>
      </c>
      <c r="O144" s="85" t="s">
        <v>189</v>
      </c>
      <c r="P144" s="83" t="s">
        <v>35</v>
      </c>
      <c r="Q144" s="22" t="s">
        <v>394</v>
      </c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9" x14ac:dyDescent="0.3">
      <c r="A145" s="1">
        <v>2024</v>
      </c>
      <c r="B145" s="1" t="s">
        <v>35</v>
      </c>
      <c r="C145" s="8" t="s">
        <v>395</v>
      </c>
      <c r="D145" s="5">
        <v>45615</v>
      </c>
      <c r="E145" s="10" t="s">
        <v>189</v>
      </c>
      <c r="F145" s="5"/>
      <c r="G145" s="10" t="str">
        <f t="shared" si="10"/>
        <v/>
      </c>
      <c r="H145" s="1" t="s">
        <v>396</v>
      </c>
      <c r="I145" s="1" t="s">
        <v>115</v>
      </c>
      <c r="J145" s="1" t="s">
        <v>32</v>
      </c>
      <c r="K145" s="1">
        <v>185</v>
      </c>
      <c r="L145" s="14">
        <v>12000000</v>
      </c>
      <c r="M145" s="14">
        <v>12000000</v>
      </c>
      <c r="N145" s="102">
        <f t="shared" si="9"/>
        <v>1</v>
      </c>
      <c r="O145" s="85" t="s">
        <v>189</v>
      </c>
      <c r="P145" s="83"/>
      <c r="Q145" s="22" t="s">
        <v>397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9" x14ac:dyDescent="0.3">
      <c r="A146" s="1">
        <v>2024</v>
      </c>
      <c r="C146" s="8" t="s">
        <v>398</v>
      </c>
      <c r="D146" s="5"/>
      <c r="E146" s="10" t="s">
        <v>189</v>
      </c>
      <c r="F146" s="5"/>
      <c r="G146" s="10" t="str">
        <f t="shared" si="10"/>
        <v/>
      </c>
      <c r="H146" s="1" t="s">
        <v>30</v>
      </c>
      <c r="I146" s="1" t="s">
        <v>31</v>
      </c>
      <c r="J146" s="1" t="s">
        <v>48</v>
      </c>
      <c r="K146" s="1">
        <v>170</v>
      </c>
      <c r="L146" s="14" t="s">
        <v>42</v>
      </c>
      <c r="M146" s="14" t="s">
        <v>42</v>
      </c>
      <c r="N146" s="102" t="str">
        <f t="shared" si="9"/>
        <v/>
      </c>
      <c r="O146" s="85" t="s">
        <v>189</v>
      </c>
      <c r="P146" s="83" t="s">
        <v>35</v>
      </c>
      <c r="Q146" s="22" t="s">
        <v>399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9" x14ac:dyDescent="0.3">
      <c r="A147" s="1">
        <v>2024</v>
      </c>
      <c r="C147" s="8" t="s">
        <v>400</v>
      </c>
      <c r="D147" s="480" t="s">
        <v>189</v>
      </c>
      <c r="E147" s="480"/>
      <c r="F147" s="480"/>
      <c r="G147" s="10" t="str">
        <f t="shared" si="10"/>
        <v/>
      </c>
      <c r="H147" s="1" t="s">
        <v>401</v>
      </c>
      <c r="I147" s="1" t="s">
        <v>299</v>
      </c>
      <c r="J147" s="1" t="s">
        <v>32</v>
      </c>
      <c r="K147" s="1">
        <v>124</v>
      </c>
      <c r="L147" s="14">
        <v>4200000</v>
      </c>
      <c r="M147" s="14">
        <v>4200000</v>
      </c>
      <c r="N147" s="102">
        <f t="shared" si="9"/>
        <v>1</v>
      </c>
      <c r="O147" s="85" t="s">
        <v>189</v>
      </c>
      <c r="P147" s="83"/>
      <c r="Q147" s="101" t="s">
        <v>402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9" x14ac:dyDescent="0.3">
      <c r="A148" s="1">
        <v>2024</v>
      </c>
      <c r="B148" s="1" t="s">
        <v>35</v>
      </c>
      <c r="C148" s="8" t="s">
        <v>403</v>
      </c>
      <c r="D148" s="480" t="s">
        <v>189</v>
      </c>
      <c r="E148" s="480"/>
      <c r="F148" s="480"/>
      <c r="G148" s="10" t="str">
        <f t="shared" si="10"/>
        <v/>
      </c>
      <c r="H148" s="1" t="s">
        <v>404</v>
      </c>
      <c r="I148" s="1" t="s">
        <v>122</v>
      </c>
      <c r="J148" s="1" t="s">
        <v>48</v>
      </c>
      <c r="K148" s="1">
        <v>550</v>
      </c>
      <c r="L148" s="14">
        <v>25000000</v>
      </c>
      <c r="M148" s="14">
        <v>25000000</v>
      </c>
      <c r="N148" s="102">
        <f t="shared" si="9"/>
        <v>1</v>
      </c>
      <c r="O148" s="85" t="s">
        <v>189</v>
      </c>
      <c r="P148" s="83" t="s">
        <v>35</v>
      </c>
      <c r="Q148" s="22" t="s">
        <v>405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9" x14ac:dyDescent="0.3">
      <c r="A149" s="1">
        <v>2024</v>
      </c>
      <c r="C149" s="8" t="s">
        <v>406</v>
      </c>
      <c r="D149" s="480" t="s">
        <v>189</v>
      </c>
      <c r="E149" s="480"/>
      <c r="F149" s="480"/>
      <c r="G149" s="10" t="str">
        <f t="shared" si="10"/>
        <v/>
      </c>
      <c r="H149" s="1" t="s">
        <v>393</v>
      </c>
      <c r="I149" s="1" t="s">
        <v>57</v>
      </c>
      <c r="J149" s="1" t="s">
        <v>48</v>
      </c>
      <c r="K149" s="1">
        <v>393</v>
      </c>
      <c r="L149" s="14" t="s">
        <v>42</v>
      </c>
      <c r="M149" s="14" t="s">
        <v>42</v>
      </c>
      <c r="N149" s="102" t="str">
        <f t="shared" si="9"/>
        <v/>
      </c>
      <c r="O149" s="85" t="s">
        <v>189</v>
      </c>
      <c r="P149" s="83"/>
      <c r="Q149" s="22" t="s">
        <v>407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9" x14ac:dyDescent="0.3">
      <c r="A150" s="1">
        <v>2024</v>
      </c>
      <c r="B150" s="1" t="s">
        <v>35</v>
      </c>
      <c r="C150" s="8" t="s">
        <v>408</v>
      </c>
      <c r="D150" s="480" t="s">
        <v>189</v>
      </c>
      <c r="E150" s="480"/>
      <c r="F150" s="480"/>
      <c r="G150" s="10" t="str">
        <f t="shared" si="10"/>
        <v/>
      </c>
      <c r="H150" s="1" t="s">
        <v>409</v>
      </c>
      <c r="I150" s="1" t="s">
        <v>410</v>
      </c>
      <c r="J150" s="1" t="s">
        <v>32</v>
      </c>
      <c r="K150" s="1">
        <v>200</v>
      </c>
      <c r="L150" s="14">
        <v>11700000</v>
      </c>
      <c r="M150" s="14" t="s">
        <v>42</v>
      </c>
      <c r="N150" s="102" t="str">
        <f t="shared" si="9"/>
        <v/>
      </c>
      <c r="O150" s="9" t="s">
        <v>44</v>
      </c>
      <c r="P150" s="79"/>
      <c r="Q150" s="22" t="s">
        <v>411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9" x14ac:dyDescent="0.3">
      <c r="A151" s="1">
        <v>2025</v>
      </c>
      <c r="C151" s="8" t="s">
        <v>412</v>
      </c>
      <c r="D151" s="5"/>
      <c r="E151" s="10" t="str">
        <f t="shared" ref="E151:E160" ca="1" si="11">IFERROR(IF(C151="","",IF(($A$1-D151)&gt;45000,"Waiting on Info",$A$1-D151)),"")</f>
        <v>Waiting on Info</v>
      </c>
      <c r="F151" s="5" t="str">
        <f>IF(D151="","TBD",10+D151)</f>
        <v>TBD</v>
      </c>
      <c r="G151" s="10" t="str">
        <f t="shared" ca="1" si="10"/>
        <v>n/a</v>
      </c>
      <c r="H151" s="1" t="s">
        <v>413</v>
      </c>
      <c r="I151" s="1" t="s">
        <v>325</v>
      </c>
      <c r="J151" s="1" t="s">
        <v>32</v>
      </c>
      <c r="K151" s="1">
        <f>145+118</f>
        <v>263</v>
      </c>
      <c r="L151" s="14" t="s">
        <v>33</v>
      </c>
      <c r="M151" s="14" t="s">
        <v>42</v>
      </c>
      <c r="N151" s="102" t="str">
        <f>IF(AND(AND(L151&lt;&gt;"Market",L151&lt;&gt;"TBD"),M151&lt;&gt;"TBD"),M151/L151,"")</f>
        <v/>
      </c>
      <c r="O151" s="9"/>
      <c r="P151" s="83"/>
      <c r="Q151" s="22" t="s">
        <v>414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9" x14ac:dyDescent="0.3">
      <c r="A152" s="1">
        <v>2024</v>
      </c>
      <c r="B152" s="1" t="s">
        <v>35</v>
      </c>
      <c r="C152" s="8" t="s">
        <v>415</v>
      </c>
      <c r="D152" s="5">
        <v>45610</v>
      </c>
      <c r="E152" s="10">
        <f t="shared" ca="1" si="11"/>
        <v>506</v>
      </c>
      <c r="F152" s="5">
        <f>IF(D152="","TBD",10+D152)</f>
        <v>45620</v>
      </c>
      <c r="G152" s="10">
        <f t="shared" ca="1" si="10"/>
        <v>-496</v>
      </c>
      <c r="H152" s="1" t="s">
        <v>416</v>
      </c>
      <c r="I152" s="1" t="s">
        <v>252</v>
      </c>
      <c r="J152" s="1" t="s">
        <v>32</v>
      </c>
      <c r="K152" s="1">
        <v>328</v>
      </c>
      <c r="L152" s="14">
        <v>5500000</v>
      </c>
      <c r="M152" s="14" t="s">
        <v>42</v>
      </c>
      <c r="N152" s="102" t="str">
        <f>IF(AND(AND(L152&lt;&gt;"Market",L152&lt;&gt;"TBD"),M152&lt;&gt;"TBD"),M152/L152,"")</f>
        <v/>
      </c>
      <c r="O152" s="9" t="s">
        <v>44</v>
      </c>
      <c r="P152" s="83" t="s">
        <v>35</v>
      </c>
      <c r="Q152" s="22" t="s">
        <v>417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9" x14ac:dyDescent="0.3">
      <c r="A153" s="1">
        <v>2024</v>
      </c>
      <c r="B153" s="1" t="s">
        <v>35</v>
      </c>
      <c r="C153" s="8" t="s">
        <v>418</v>
      </c>
      <c r="D153" s="5">
        <v>45642</v>
      </c>
      <c r="E153" s="10">
        <f t="shared" ca="1" si="11"/>
        <v>474</v>
      </c>
      <c r="F153" s="5">
        <f>IF(D153="","TBD",10+D153)</f>
        <v>45652</v>
      </c>
      <c r="G153" s="10">
        <f t="shared" ca="1" si="10"/>
        <v>-464</v>
      </c>
      <c r="H153" s="1" t="s">
        <v>419</v>
      </c>
      <c r="I153" s="1" t="s">
        <v>420</v>
      </c>
      <c r="J153" s="1" t="s">
        <v>48</v>
      </c>
      <c r="K153" s="1">
        <f>44+48+375</f>
        <v>467</v>
      </c>
      <c r="L153" s="14" t="s">
        <v>42</v>
      </c>
      <c r="M153" s="14">
        <v>17500000</v>
      </c>
      <c r="N153" s="102" t="str">
        <f>IF(AND(AND(L153&lt;&gt;"Market",L153&lt;&gt;"TBD"),M153&lt;&gt;"TBD"),M153/L153,"")</f>
        <v/>
      </c>
      <c r="O153" s="69" t="s">
        <v>44</v>
      </c>
      <c r="P153" s="79"/>
      <c r="Q153" s="22" t="s">
        <v>421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9" x14ac:dyDescent="0.3">
      <c r="A154" s="1">
        <v>2024</v>
      </c>
      <c r="B154" s="1" t="s">
        <v>35</v>
      </c>
      <c r="C154" s="8" t="s">
        <v>422</v>
      </c>
      <c r="D154" s="5">
        <v>45607</v>
      </c>
      <c r="E154" s="10">
        <f t="shared" ca="1" si="11"/>
        <v>509</v>
      </c>
      <c r="F154" s="5">
        <v>45688</v>
      </c>
      <c r="G154" s="10">
        <f t="shared" ca="1" si="10"/>
        <v>-428</v>
      </c>
      <c r="H154" s="1" t="s">
        <v>331</v>
      </c>
      <c r="I154" s="1" t="s">
        <v>31</v>
      </c>
      <c r="J154" s="1" t="s">
        <v>32</v>
      </c>
      <c r="K154" s="1">
        <v>159</v>
      </c>
      <c r="L154" s="14">
        <v>24000000</v>
      </c>
      <c r="M154" s="14" t="s">
        <v>42</v>
      </c>
      <c r="N154" s="102" t="str">
        <f>IF(AND(AND(L154&lt;&gt;"Market",L154&lt;&gt;"TBD"),M154&lt;&gt;"TBD"),M154/L154,"")</f>
        <v/>
      </c>
      <c r="O154" s="9" t="s">
        <v>44</v>
      </c>
      <c r="P154" s="83" t="s">
        <v>35</v>
      </c>
      <c r="Q154" s="22" t="s">
        <v>423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1:29" x14ac:dyDescent="0.3">
      <c r="A155" s="1">
        <v>2025</v>
      </c>
      <c r="B155" s="1" t="s">
        <v>35</v>
      </c>
      <c r="C155" s="40" t="s">
        <v>424</v>
      </c>
      <c r="D155" s="5">
        <v>45684</v>
      </c>
      <c r="E155" s="10">
        <f t="shared" ca="1" si="11"/>
        <v>432</v>
      </c>
      <c r="F155" s="5" t="s">
        <v>42</v>
      </c>
      <c r="G155" s="10" t="str">
        <f t="shared" ca="1" si="10"/>
        <v>n/a</v>
      </c>
      <c r="H155" s="1" t="s">
        <v>425</v>
      </c>
      <c r="I155" s="14" t="s">
        <v>426</v>
      </c>
      <c r="J155" s="14" t="s">
        <v>32</v>
      </c>
      <c r="K155" s="1">
        <v>437</v>
      </c>
      <c r="L155" s="14">
        <v>10950000</v>
      </c>
      <c r="M155" s="14" t="s">
        <v>42</v>
      </c>
      <c r="N155" s="102" t="str">
        <f>IFERROR(IF(AND(AND(L155&lt;&gt;"Market",L155&lt;&gt;"TBD"),M155&lt;&gt;"TBD"),M155/L155,""),"")</f>
        <v/>
      </c>
      <c r="O155" s="85" t="s">
        <v>189</v>
      </c>
      <c r="P155" s="115"/>
      <c r="Q155" s="8" t="s">
        <v>427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1:29" x14ac:dyDescent="0.3">
      <c r="A156" s="1">
        <v>2025</v>
      </c>
      <c r="C156" s="40" t="s">
        <v>428</v>
      </c>
      <c r="D156" s="5">
        <v>45699</v>
      </c>
      <c r="E156" s="10">
        <f t="shared" ca="1" si="11"/>
        <v>417</v>
      </c>
      <c r="F156" s="5" t="s">
        <v>42</v>
      </c>
      <c r="G156" s="10" t="str">
        <f t="shared" ca="1" si="10"/>
        <v>n/a</v>
      </c>
      <c r="H156" s="1" t="s">
        <v>429</v>
      </c>
      <c r="I156" s="14" t="s">
        <v>130</v>
      </c>
      <c r="J156" s="14" t="s">
        <v>48</v>
      </c>
      <c r="K156" s="1">
        <f>173+240</f>
        <v>413</v>
      </c>
      <c r="L156" s="14">
        <v>8000000</v>
      </c>
      <c r="M156" s="14" t="s">
        <v>42</v>
      </c>
      <c r="N156" s="102" t="str">
        <f>IFERROR(IF(AND(AND(L156&lt;&gt;"Market",L156&lt;&gt;"TBD"),M156&lt;&gt;"TBD"),M156/L156,""),"")</f>
        <v/>
      </c>
      <c r="O156" s="85" t="s">
        <v>189</v>
      </c>
      <c r="P156" s="115"/>
      <c r="Q156" s="8" t="s">
        <v>430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9" x14ac:dyDescent="0.3">
      <c r="A157" s="1">
        <v>2025</v>
      </c>
      <c r="B157" s="1" t="s">
        <v>35</v>
      </c>
      <c r="C157" s="8" t="s">
        <v>431</v>
      </c>
      <c r="D157" s="5">
        <v>45681</v>
      </c>
      <c r="E157" s="10">
        <f t="shared" ca="1" si="11"/>
        <v>435</v>
      </c>
      <c r="F157" s="5">
        <f>IF(D157="","TBD",10+D157)</f>
        <v>45691</v>
      </c>
      <c r="G157" s="10">
        <f t="shared" ca="1" si="10"/>
        <v>-425</v>
      </c>
      <c r="H157" s="1" t="s">
        <v>272</v>
      </c>
      <c r="I157" s="1" t="s">
        <v>273</v>
      </c>
      <c r="J157" s="1" t="s">
        <v>32</v>
      </c>
      <c r="K157" s="1">
        <v>500</v>
      </c>
      <c r="L157" s="14">
        <v>40000000</v>
      </c>
      <c r="M157" s="14" t="s">
        <v>42</v>
      </c>
      <c r="N157" s="102" t="str">
        <f>IFERROR(IF(AND(AND(L157&lt;&gt;"Market",L157&lt;&gt;"TBD"),M157&lt;&gt;"TBD"),M157/L157,""),"")</f>
        <v/>
      </c>
      <c r="O157" s="85" t="s">
        <v>189</v>
      </c>
      <c r="P157" s="83" t="s">
        <v>35</v>
      </c>
      <c r="Q157" s="22" t="s">
        <v>432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9" x14ac:dyDescent="0.3">
      <c r="A158" s="1">
        <v>2024</v>
      </c>
      <c r="B158" s="1" t="s">
        <v>35</v>
      </c>
      <c r="C158" s="8" t="s">
        <v>433</v>
      </c>
      <c r="D158" s="5">
        <v>45533</v>
      </c>
      <c r="E158" s="10">
        <f t="shared" ca="1" si="11"/>
        <v>583</v>
      </c>
      <c r="F158" s="5" t="s">
        <v>51</v>
      </c>
      <c r="G158" s="10" t="str">
        <f t="shared" ca="1" si="10"/>
        <v>n/a</v>
      </c>
      <c r="H158" s="1" t="s">
        <v>153</v>
      </c>
      <c r="I158" s="1" t="s">
        <v>57</v>
      </c>
      <c r="J158" s="1" t="s">
        <v>48</v>
      </c>
      <c r="K158" s="1">
        <v>620</v>
      </c>
      <c r="L158" s="14" t="s">
        <v>33</v>
      </c>
      <c r="M158" s="14" t="s">
        <v>42</v>
      </c>
      <c r="N158" s="102" t="str">
        <f>IF(AND(AND(L158&lt;&gt;"Market",L158&lt;&gt;"TBD"),M158&lt;&gt;"TBD"),M158/L158,"")</f>
        <v/>
      </c>
      <c r="O158" s="9" t="s">
        <v>34</v>
      </c>
      <c r="P158" s="83" t="s">
        <v>35</v>
      </c>
      <c r="Q158" s="22" t="s">
        <v>434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1:29" x14ac:dyDescent="0.3">
      <c r="A159" s="1">
        <v>2025</v>
      </c>
      <c r="C159" s="40" t="s">
        <v>435</v>
      </c>
      <c r="D159" s="5">
        <v>45705</v>
      </c>
      <c r="E159" s="10">
        <f t="shared" ca="1" si="11"/>
        <v>411</v>
      </c>
      <c r="F159" s="5" t="s">
        <v>42</v>
      </c>
      <c r="G159" s="10" t="str">
        <f t="shared" ca="1" si="10"/>
        <v>n/a</v>
      </c>
      <c r="H159" s="1" t="s">
        <v>436</v>
      </c>
      <c r="I159" s="14" t="s">
        <v>31</v>
      </c>
      <c r="J159" s="14" t="s">
        <v>32</v>
      </c>
      <c r="L159" s="14" t="s">
        <v>33</v>
      </c>
      <c r="M159" s="14" t="s">
        <v>42</v>
      </c>
      <c r="N159" s="102"/>
      <c r="O159" s="117" t="s">
        <v>44</v>
      </c>
      <c r="P159" s="116"/>
      <c r="Q159" s="8" t="s">
        <v>437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1:29" x14ac:dyDescent="0.3">
      <c r="A160" s="1">
        <v>2025</v>
      </c>
      <c r="C160" s="40" t="s">
        <v>438</v>
      </c>
      <c r="D160" s="5">
        <v>45715</v>
      </c>
      <c r="E160" s="10">
        <f t="shared" ca="1" si="11"/>
        <v>401</v>
      </c>
      <c r="F160" s="5" t="s">
        <v>42</v>
      </c>
      <c r="G160" s="10" t="str">
        <f t="shared" ca="1" si="10"/>
        <v>n/a</v>
      </c>
      <c r="H160" s="1" t="s">
        <v>291</v>
      </c>
      <c r="I160" s="14" t="s">
        <v>53</v>
      </c>
      <c r="J160" s="14" t="s">
        <v>32</v>
      </c>
      <c r="L160" s="14">
        <v>6000000</v>
      </c>
      <c r="M160" s="14" t="s">
        <v>42</v>
      </c>
      <c r="N160" s="102"/>
      <c r="O160" s="117" t="s">
        <v>44</v>
      </c>
      <c r="P160" s="83"/>
      <c r="Q160" s="8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1:29" x14ac:dyDescent="0.3">
      <c r="A161" s="1">
        <v>2024</v>
      </c>
      <c r="B161" s="1" t="s">
        <v>35</v>
      </c>
      <c r="C161" s="8" t="s">
        <v>439</v>
      </c>
      <c r="D161" s="481" t="s">
        <v>186</v>
      </c>
      <c r="E161" s="481"/>
      <c r="F161" s="481"/>
      <c r="G161" s="5"/>
      <c r="H161" s="1" t="s">
        <v>60</v>
      </c>
      <c r="I161" s="1" t="s">
        <v>61</v>
      </c>
      <c r="J161" s="1" t="s">
        <v>48</v>
      </c>
      <c r="K161" s="1">
        <f>241+139</f>
        <v>380</v>
      </c>
      <c r="L161" s="14">
        <v>21000000</v>
      </c>
      <c r="M161" s="14">
        <v>19000000</v>
      </c>
      <c r="N161" s="102">
        <f>IFERROR(IF(AND(AND(L161&lt;&gt;"Market",L161&lt;&gt;"TBD"),M161&lt;&gt;"TBD"),M161/L161,""),"")</f>
        <v>0.90476190476190477</v>
      </c>
      <c r="O161" s="1" t="s">
        <v>100</v>
      </c>
      <c r="P161" s="80" t="s">
        <v>35</v>
      </c>
      <c r="Q161" s="47" t="s">
        <v>440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1:29" x14ac:dyDescent="0.3">
      <c r="A162" s="1">
        <v>2025</v>
      </c>
      <c r="B162" s="1" t="s">
        <v>35</v>
      </c>
      <c r="C162" s="40" t="s">
        <v>441</v>
      </c>
      <c r="D162" s="5">
        <v>45720</v>
      </c>
      <c r="E162" s="10">
        <f ca="1">IFERROR(IF(C162="","",IF(($A$1-D162)&gt;45000,"Waiting on Info",$A$1-D162)),"")</f>
        <v>396</v>
      </c>
      <c r="F162" s="5" t="s">
        <v>42</v>
      </c>
      <c r="G162" s="10" t="str">
        <f ca="1">IFERROR(IF(F162="","",F162-$A$1),"n/a")</f>
        <v>n/a</v>
      </c>
      <c r="H162" s="1" t="s">
        <v>103</v>
      </c>
      <c r="I162" s="14" t="s">
        <v>31</v>
      </c>
      <c r="J162" s="14" t="s">
        <v>32</v>
      </c>
      <c r="K162" s="1">
        <f>37+121</f>
        <v>158</v>
      </c>
      <c r="L162" s="14" t="s">
        <v>42</v>
      </c>
      <c r="M162" s="14" t="s">
        <v>42</v>
      </c>
      <c r="N162" s="102"/>
      <c r="O162" s="117" t="s">
        <v>44</v>
      </c>
      <c r="P162" s="80" t="s">
        <v>35</v>
      </c>
      <c r="Q162" s="8" t="s">
        <v>442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1:29" x14ac:dyDescent="0.3">
      <c r="C163" s="8"/>
      <c r="D163" s="480"/>
      <c r="E163" s="480"/>
      <c r="F163" s="480"/>
      <c r="K163" s="8"/>
      <c r="L163" s="8"/>
      <c r="M163" s="8"/>
      <c r="N163" s="102" t="str">
        <f t="shared" si="9"/>
        <v/>
      </c>
      <c r="O163" s="8"/>
      <c r="P163" s="76"/>
      <c r="Q163" s="98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1:29" s="7" customFormat="1" ht="15" thickBot="1" x14ac:dyDescent="0.35">
      <c r="A164" s="3"/>
      <c r="B164" s="3">
        <f>COUNTIF(B75:B163,"&lt;&gt;")</f>
        <v>63</v>
      </c>
      <c r="C164" s="3">
        <f>COUNTA(C75:C163)</f>
        <v>88</v>
      </c>
      <c r="D164" s="3"/>
      <c r="E164" s="24"/>
      <c r="F164" s="3"/>
      <c r="G164" s="3"/>
      <c r="H164" s="3"/>
      <c r="I164" s="3"/>
      <c r="J164" s="3">
        <f>COUNTIF(J75:J163,"Off-Market")</f>
        <v>37</v>
      </c>
      <c r="K164" s="3"/>
      <c r="L164" s="24">
        <f>SUM(L75:L163)</f>
        <v>848100000</v>
      </c>
      <c r="M164" s="24">
        <f>SUM(M75:M163)</f>
        <v>751450000</v>
      </c>
      <c r="N164" s="103">
        <f>IFERROR(AVERAGE(N75:N148),0)</f>
        <v>0.99494949494949481</v>
      </c>
      <c r="O164" s="3"/>
      <c r="P164" s="3"/>
      <c r="Q164" s="18"/>
    </row>
    <row r="165" spans="1:29" s="7" customFormat="1" x14ac:dyDescent="0.3">
      <c r="A165" s="6">
        <f>COUNTIF($A$75:$A$163,"2023")</f>
        <v>13</v>
      </c>
      <c r="B165" s="51" t="s">
        <v>84</v>
      </c>
      <c r="C165" s="6"/>
      <c r="D165" s="6"/>
      <c r="E165" s="6"/>
      <c r="F165" s="6"/>
      <c r="G165" s="6"/>
      <c r="H165" s="6"/>
      <c r="I165" s="6"/>
      <c r="J165" s="52" t="s">
        <v>85</v>
      </c>
      <c r="K165" s="6"/>
      <c r="L165" s="6"/>
      <c r="M165" s="6"/>
      <c r="N165" s="6"/>
      <c r="O165" s="6"/>
      <c r="P165" s="6"/>
      <c r="Q165" s="6"/>
    </row>
    <row r="166" spans="1:29" s="7" customFormat="1" x14ac:dyDescent="0.3">
      <c r="A166" s="6">
        <f>COUNTIF($A$75:$A$163,"2024")</f>
        <v>68</v>
      </c>
      <c r="B166" s="51" t="s">
        <v>86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spans="1:29" s="7" customFormat="1" x14ac:dyDescent="0.3">
      <c r="A167" s="6">
        <f>COUNTIF($A$75:$A$163,"2025")</f>
        <v>7</v>
      </c>
      <c r="B167" s="51" t="s">
        <v>87</v>
      </c>
      <c r="C167" s="6"/>
      <c r="D167" s="6"/>
      <c r="E167" s="6"/>
      <c r="F167" s="6"/>
      <c r="G167" s="6"/>
      <c r="H167" s="6"/>
      <c r="I167" s="6"/>
      <c r="J167" s="39"/>
      <c r="O167" s="6"/>
      <c r="P167" s="6"/>
      <c r="Q167" s="6"/>
    </row>
    <row r="168" spans="1:29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1:29" s="7" customFormat="1" ht="15" thickBot="1" x14ac:dyDescent="0.35">
      <c r="A169" s="4"/>
      <c r="B169" s="4"/>
      <c r="C169" s="4">
        <f>SUM(C22,C36,C68,C164)</f>
        <v>127</v>
      </c>
      <c r="D169" s="2"/>
      <c r="E169" s="2"/>
      <c r="F169" s="2"/>
      <c r="G169" s="2"/>
      <c r="H169" s="4"/>
      <c r="I169" s="4"/>
      <c r="J169" s="4">
        <f>SUM(J164,J68,J36,J22)</f>
        <v>63</v>
      </c>
      <c r="K169" s="4"/>
      <c r="L169" s="4"/>
      <c r="M169" s="4"/>
      <c r="N169" s="4"/>
      <c r="O169" s="4"/>
      <c r="P169" s="4"/>
      <c r="Q169" s="4"/>
    </row>
    <row r="170" spans="1:29" s="7" customFormat="1" x14ac:dyDescent="0.3">
      <c r="A170" s="6"/>
      <c r="B170" s="6"/>
      <c r="D170" s="6"/>
      <c r="E170" s="6"/>
      <c r="F170" s="6"/>
      <c r="G170" s="6"/>
      <c r="H170" s="6"/>
      <c r="I170" s="6"/>
      <c r="J170" s="52" t="s">
        <v>85</v>
      </c>
      <c r="K170" s="6"/>
      <c r="L170" s="6"/>
      <c r="M170" s="6"/>
      <c r="N170" s="6"/>
      <c r="O170" s="6"/>
      <c r="P170" s="6"/>
      <c r="Q170" s="6"/>
    </row>
    <row r="171" spans="1:29" s="7" customFormat="1" x14ac:dyDescent="0.3">
      <c r="A171" s="6"/>
      <c r="B171" s="6"/>
      <c r="D171" s="6"/>
      <c r="E171" s="6"/>
      <c r="F171" s="6"/>
      <c r="G171" s="6"/>
      <c r="H171" s="6"/>
      <c r="I171" s="6"/>
      <c r="J171" s="52"/>
      <c r="K171" s="6"/>
      <c r="L171" s="6"/>
      <c r="M171" s="6"/>
      <c r="N171" s="6"/>
      <c r="O171" s="6"/>
      <c r="P171" s="6"/>
      <c r="Q171" s="6"/>
    </row>
    <row r="172" spans="1:29" s="7" customFormat="1" x14ac:dyDescent="0.3">
      <c r="A172" s="6"/>
      <c r="B172" s="54" t="s">
        <v>443</v>
      </c>
      <c r="C172" s="54" t="s">
        <v>444</v>
      </c>
      <c r="D172" s="55"/>
      <c r="E172" s="55"/>
      <c r="F172" s="55"/>
      <c r="G172" s="55"/>
      <c r="H172" s="55"/>
      <c r="I172" s="55"/>
      <c r="J172" s="54" t="s">
        <v>445</v>
      </c>
      <c r="K172" s="55"/>
      <c r="L172" s="55"/>
      <c r="M172" s="55"/>
      <c r="N172" s="55"/>
      <c r="O172" s="55"/>
      <c r="P172" s="54" t="s">
        <v>446</v>
      </c>
      <c r="Q172" s="55"/>
    </row>
    <row r="173" spans="1:29" s="7" customFormat="1" x14ac:dyDescent="0.3">
      <c r="A173" s="56" t="s">
        <v>447</v>
      </c>
      <c r="B173" s="6">
        <f>COUNTIFS($A$3:$A$169,"2023",$B$3:$B$169,"Yes")</f>
        <v>18</v>
      </c>
      <c r="C173" s="45">
        <f>SUM(A165,A69,A37,A23)</f>
        <v>18</v>
      </c>
      <c r="D173" s="6"/>
      <c r="E173" s="6"/>
      <c r="F173" s="6"/>
      <c r="G173" s="6"/>
      <c r="H173" s="6"/>
      <c r="I173" s="6"/>
      <c r="J173" s="45">
        <f>COUNTIFS($A$3:$A$169,"2023",$J$3:$J$169,"Off-Market")</f>
        <v>10</v>
      </c>
      <c r="K173" s="53">
        <f>J173/C173</f>
        <v>0.55555555555555558</v>
      </c>
      <c r="L173" s="53"/>
      <c r="M173" s="6"/>
      <c r="N173" s="6"/>
      <c r="O173" s="6"/>
      <c r="P173" s="6">
        <f>COUNTIFS($A$3:$A$169,"2023",$P$3:$P$169,"Yes")</f>
        <v>9</v>
      </c>
      <c r="Q173" s="53">
        <f>P173/C173</f>
        <v>0.5</v>
      </c>
    </row>
    <row r="174" spans="1:29" s="7" customFormat="1" x14ac:dyDescent="0.3">
      <c r="A174" s="56" t="s">
        <v>448</v>
      </c>
      <c r="B174" s="6">
        <f>COUNTIFS($A$3:$A$169,"2024",$B$3:$B$169,"Yes")</f>
        <v>62</v>
      </c>
      <c r="C174" s="45">
        <f>SUM(A166,A70,A38,A24)</f>
        <v>94</v>
      </c>
      <c r="D174" s="6"/>
      <c r="E174" s="6"/>
      <c r="F174" s="6"/>
      <c r="G174" s="6"/>
      <c r="H174" s="6"/>
      <c r="I174" s="6"/>
      <c r="J174" s="45">
        <f>COUNTIFS($A$3:$A$169,"2024",$J$3:$J$169,"Off-Market")</f>
        <v>50</v>
      </c>
      <c r="K174" s="53">
        <f>J174/C174</f>
        <v>0.53191489361702127</v>
      </c>
      <c r="L174" s="53"/>
      <c r="M174" s="6"/>
      <c r="N174" s="6"/>
      <c r="O174" s="6"/>
      <c r="P174" s="6">
        <f>COUNTIFS($A$3:$A$169,"2024",$P$3:$P$169,"Yes")</f>
        <v>40</v>
      </c>
      <c r="Q174" s="53">
        <f>P174/C174</f>
        <v>0.42553191489361702</v>
      </c>
    </row>
    <row r="175" spans="1:29" s="7" customFormat="1" x14ac:dyDescent="0.3">
      <c r="A175" s="107" t="s">
        <v>449</v>
      </c>
      <c r="B175" s="108">
        <f>COUNTIFS($A$3:$A$169,"2025",$B$3:$B$169,"Yes")</f>
        <v>12</v>
      </c>
      <c r="C175" s="109">
        <f>SUM(A167,A71,A39,A25)</f>
        <v>15</v>
      </c>
      <c r="D175" s="110"/>
      <c r="E175" s="110"/>
      <c r="F175" s="110"/>
      <c r="G175" s="110"/>
      <c r="H175" s="110"/>
      <c r="I175" s="110"/>
      <c r="J175" s="45">
        <f>COUNTIFS($A$3:$A$169,"2025",$J$3:$J$169,"Off-Market")</f>
        <v>3</v>
      </c>
      <c r="K175" s="53">
        <f>J175/C175</f>
        <v>0.2</v>
      </c>
      <c r="L175" s="111"/>
      <c r="M175" s="110"/>
      <c r="N175" s="110"/>
      <c r="O175" s="110"/>
      <c r="P175" s="6">
        <f>COUNTIFS($A$3:$A$169,"2025",$P$3:$P$169,"Yes")</f>
        <v>11</v>
      </c>
      <c r="Q175" s="53">
        <f>P175/C175</f>
        <v>0.73333333333333328</v>
      </c>
    </row>
    <row r="176" spans="1:29" s="7" customFormat="1" ht="15" thickBot="1" x14ac:dyDescent="0.35">
      <c r="A176" s="6"/>
      <c r="B176" s="58">
        <f>SUM(B173:B175)</f>
        <v>92</v>
      </c>
      <c r="C176" s="58">
        <f>SUM(C173:C175)</f>
        <v>127</v>
      </c>
      <c r="D176" s="58"/>
      <c r="E176" s="58"/>
      <c r="F176" s="58"/>
      <c r="G176" s="58"/>
      <c r="H176" s="58"/>
      <c r="I176" s="58"/>
      <c r="J176" s="58">
        <f>SUM(J173:J175)</f>
        <v>63</v>
      </c>
      <c r="K176" s="59">
        <f>J176/C176</f>
        <v>0.49606299212598426</v>
      </c>
      <c r="L176" s="59"/>
      <c r="M176" s="58"/>
      <c r="N176" s="58"/>
      <c r="O176" s="58"/>
      <c r="P176" s="58">
        <f>SUM(P173:P175)</f>
        <v>60</v>
      </c>
      <c r="Q176" s="59">
        <f>P176/C176</f>
        <v>0.47244094488188976</v>
      </c>
    </row>
    <row r="177" spans="1:17" s="7" customFormat="1" ht="15" thickTop="1" x14ac:dyDescent="0.3">
      <c r="A177" s="6"/>
      <c r="B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s="7" customFormat="1" x14ac:dyDescent="0.3">
      <c r="A178" s="6"/>
      <c r="B178" s="54" t="s">
        <v>450</v>
      </c>
      <c r="C178" s="54" t="s">
        <v>451</v>
      </c>
      <c r="D178" s="54" t="s">
        <v>452</v>
      </c>
      <c r="E178" s="54" t="s">
        <v>453</v>
      </c>
      <c r="F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s="7" customFormat="1" x14ac:dyDescent="0.3">
      <c r="A179" s="105" t="str">
        <f>C4</f>
        <v>ANALYZING</v>
      </c>
      <c r="B179" s="6">
        <f>C22</f>
        <v>11</v>
      </c>
      <c r="C179" s="87">
        <f>L22</f>
        <v>388500000</v>
      </c>
      <c r="D179" s="87">
        <f>M22</f>
        <v>197000000</v>
      </c>
      <c r="E179" s="104">
        <f>IFERROR(IF(D179/C179=0,"",D179/C179),"")</f>
        <v>0.5070785070785071</v>
      </c>
      <c r="F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s="7" customFormat="1" x14ac:dyDescent="0.3">
      <c r="A180" s="105" t="str">
        <f>C27</f>
        <v>ACTIVE DEALS</v>
      </c>
      <c r="B180" s="6">
        <f>C36</f>
        <v>6</v>
      </c>
      <c r="C180" s="87" t="s">
        <v>454</v>
      </c>
      <c r="D180" s="87">
        <f>E36</f>
        <v>142900000</v>
      </c>
      <c r="E180" s="104" t="str">
        <f>IFERROR(IF(D180/C180=0,"",D180/C180),"")</f>
        <v/>
      </c>
      <c r="F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s="7" customFormat="1" x14ac:dyDescent="0.3">
      <c r="A181" s="105" t="str">
        <f>C41</f>
        <v>LONG TERM</v>
      </c>
      <c r="B181" s="6">
        <f>C68</f>
        <v>22</v>
      </c>
      <c r="C181" s="87">
        <f>L68</f>
        <v>403000000</v>
      </c>
      <c r="D181" s="87">
        <f>M68</f>
        <v>184000000</v>
      </c>
      <c r="E181" s="104">
        <f>IFERROR(IF(D181/C181=0,"",D181/C181),"")</f>
        <v>0.45657568238213397</v>
      </c>
      <c r="F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s="7" customFormat="1" x14ac:dyDescent="0.3">
      <c r="A182" s="105" t="str">
        <f>C73</f>
        <v>DEAD DEALS</v>
      </c>
      <c r="B182" s="89">
        <f>C164</f>
        <v>88</v>
      </c>
      <c r="C182" s="90">
        <f>L164</f>
        <v>848100000</v>
      </c>
      <c r="D182" s="90">
        <f>M164</f>
        <v>751450000</v>
      </c>
      <c r="E182" s="106">
        <f>IFERROR(IF(D182/C182=0,"",D182/C182),"")</f>
        <v>0.88603938214833156</v>
      </c>
      <c r="F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s="7" customFormat="1" x14ac:dyDescent="0.3">
      <c r="A183" s="86"/>
      <c r="B183" s="6">
        <f>SUM(B179:B182)</f>
        <v>127</v>
      </c>
      <c r="C183" s="6"/>
      <c r="D183" s="87"/>
      <c r="E183" s="6"/>
      <c r="F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s="7" customFormat="1" x14ac:dyDescent="0.3">
      <c r="A184" s="6"/>
      <c r="B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s="7" customFormat="1" x14ac:dyDescent="0.3">
      <c r="A185" s="6"/>
      <c r="B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s="7" customFormat="1" x14ac:dyDescent="0.3">
      <c r="A186" s="6"/>
      <c r="B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s="7" customFormat="1" x14ac:dyDescent="0.3">
      <c r="A187" s="6"/>
      <c r="B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s="7" customFormat="1" x14ac:dyDescent="0.3">
      <c r="A188" s="6"/>
      <c r="B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s="7" customFormat="1" x14ac:dyDescent="0.3">
      <c r="A189" s="6"/>
      <c r="B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s="7" customFormat="1" x14ac:dyDescent="0.3">
      <c r="A190" s="6"/>
      <c r="B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s="7" customFormat="1" x14ac:dyDescent="0.3">
      <c r="A191" s="6"/>
      <c r="B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s="7" customFormat="1" x14ac:dyDescent="0.3">
      <c r="A192" s="6"/>
      <c r="B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s="7" customFormat="1" x14ac:dyDescent="0.3">
      <c r="A193" s="6"/>
      <c r="B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s="7" customFormat="1" x14ac:dyDescent="0.3">
      <c r="A194" s="6"/>
      <c r="B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s="7" customFormat="1" x14ac:dyDescent="0.3">
      <c r="A195" s="6"/>
      <c r="B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s="7" customFormat="1" x14ac:dyDescent="0.3">
      <c r="A196" s="6"/>
      <c r="B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s="7" customFormat="1" x14ac:dyDescent="0.3">
      <c r="A197" s="6"/>
      <c r="B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s="7" customFormat="1" x14ac:dyDescent="0.3">
      <c r="A198" s="6"/>
      <c r="B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s="7" customFormat="1" x14ac:dyDescent="0.3">
      <c r="A199" s="6"/>
      <c r="B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s="7" customFormat="1" x14ac:dyDescent="0.3">
      <c r="A200" s="6"/>
      <c r="B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s="7" customFormat="1" x14ac:dyDescent="0.3">
      <c r="A201" s="6"/>
      <c r="B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s="7" customFormat="1" x14ac:dyDescent="0.3">
      <c r="A202" s="6"/>
      <c r="B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s="7" customFormat="1" x14ac:dyDescent="0.3">
      <c r="A203" s="6"/>
      <c r="B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s="7" customFormat="1" x14ac:dyDescent="0.3">
      <c r="A204" s="6"/>
      <c r="B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s="7" customFormat="1" x14ac:dyDescent="0.3">
      <c r="A205" s="6"/>
      <c r="B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s="7" customFormat="1" x14ac:dyDescent="0.3">
      <c r="A206" s="6"/>
      <c r="B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s="7" customFormat="1" x14ac:dyDescent="0.3">
      <c r="A207" s="6"/>
      <c r="B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s="7" customFormat="1" x14ac:dyDescent="0.3">
      <c r="A208" s="6"/>
      <c r="B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s="7" customFormat="1" x14ac:dyDescent="0.3">
      <c r="A209" s="6"/>
      <c r="B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s="7" customFormat="1" x14ac:dyDescent="0.3">
      <c r="A210" s="6"/>
      <c r="B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s="7" customFormat="1" x14ac:dyDescent="0.3">
      <c r="A211" s="6"/>
      <c r="B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s="7" customFormat="1" x14ac:dyDescent="0.3">
      <c r="A212" s="6"/>
      <c r="B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s="7" customFormat="1" x14ac:dyDescent="0.3">
      <c r="A213" s="6"/>
      <c r="B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s="7" customFormat="1" x14ac:dyDescent="0.3">
      <c r="A214" s="6"/>
      <c r="B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s="7" customFormat="1" x14ac:dyDescent="0.3">
      <c r="A215" s="6"/>
      <c r="B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s="7" customFormat="1" x14ac:dyDescent="0.3">
      <c r="A216" s="6"/>
      <c r="B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s="7" customFormat="1" x14ac:dyDescent="0.3">
      <c r="A217" s="6"/>
      <c r="B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s="7" customFormat="1" x14ac:dyDescent="0.3">
      <c r="A218" s="6"/>
      <c r="B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s="7" customFormat="1" x14ac:dyDescent="0.3">
      <c r="A219" s="6"/>
      <c r="B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s="7" customFormat="1" x14ac:dyDescent="0.3">
      <c r="A220" s="6"/>
      <c r="B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s="7" customFormat="1" x14ac:dyDescent="0.3">
      <c r="A221" s="6"/>
      <c r="B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x14ac:dyDescent="0.3">
      <c r="A222" s="6"/>
      <c r="B222" s="6"/>
      <c r="C222" s="7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</sheetData>
  <mergeCells count="61">
    <mergeCell ref="D161:F161"/>
    <mergeCell ref="D126:F126"/>
    <mergeCell ref="D122:F122"/>
    <mergeCell ref="D117:F117"/>
    <mergeCell ref="D119:F119"/>
    <mergeCell ref="D150:F150"/>
    <mergeCell ref="D149:F149"/>
    <mergeCell ref="D143:F143"/>
    <mergeCell ref="D141:F141"/>
    <mergeCell ref="D91:F91"/>
    <mergeCell ref="D92:F92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Q27:Q28"/>
    <mergeCell ref="Q41:Q42"/>
    <mergeCell ref="Q73:Q74"/>
    <mergeCell ref="D75:F75"/>
    <mergeCell ref="D74:F74"/>
    <mergeCell ref="D93:F93"/>
    <mergeCell ref="D94:F94"/>
    <mergeCell ref="D95:F95"/>
    <mergeCell ref="D96:F96"/>
    <mergeCell ref="D97:F97"/>
    <mergeCell ref="D98:F98"/>
    <mergeCell ref="D99:F99"/>
    <mergeCell ref="D100:F100"/>
    <mergeCell ref="D163:F163"/>
    <mergeCell ref="D104:F104"/>
    <mergeCell ref="D105:F105"/>
    <mergeCell ref="D107:F107"/>
    <mergeCell ref="D108:F108"/>
    <mergeCell ref="D136:F136"/>
    <mergeCell ref="D109:F109"/>
    <mergeCell ref="D111:F111"/>
    <mergeCell ref="D110:F110"/>
    <mergeCell ref="D112:F112"/>
    <mergeCell ref="D115:F115"/>
    <mergeCell ref="D131:F131"/>
    <mergeCell ref="D148:F148"/>
    <mergeCell ref="D101:F101"/>
    <mergeCell ref="D113:F113"/>
    <mergeCell ref="D134:F134"/>
    <mergeCell ref="D135:F135"/>
    <mergeCell ref="D147:F147"/>
    <mergeCell ref="D144:F144"/>
    <mergeCell ref="D103:F103"/>
    <mergeCell ref="D106:F106"/>
    <mergeCell ref="D102:F102"/>
  </mergeCells>
  <conditionalFormatting sqref="G6:G21 G29:G34 G58:G64 G140:G162">
    <cfRule type="cellIs" dxfId="29" priority="47" operator="lessThan">
      <formula>10</formula>
    </cfRule>
  </conditionalFormatting>
  <conditionalFormatting sqref="L29:N34 N43:O59 K55:K59 Q58:Q64 K60:O67 K161:K162 N161:O162">
    <cfRule type="cellIs" dxfId="28" priority="43" operator="equal">
      <formula>"Yes"</formula>
    </cfRule>
  </conditionalFormatting>
  <conditionalFormatting sqref="L96:N111 K107:K111">
    <cfRule type="cellIs" dxfId="27" priority="56" operator="equal">
      <formula>"Yes"</formula>
    </cfRule>
  </conditionalFormatting>
  <conditionalFormatting sqref="L6:O6 K7:O20 Q7:Q20 K30:N33 Q31:Q33 L51:M59 K93:K94 L115:N151 Q120:Q135 K124:N135 Q146:Q162 K155:N157 K158:O162">
    <cfRule type="cellIs" dxfId="26" priority="16" operator="equal">
      <formula>"Yes"</formula>
    </cfRule>
  </conditionalFormatting>
  <conditionalFormatting sqref="L21:O21 K43:M50 K136:K151 K149:N151 L150:O151 K152:O154">
    <cfRule type="cellIs" dxfId="25" priority="34" operator="equal">
      <formula>"Yes"</formula>
    </cfRule>
  </conditionalFormatting>
  <conditionalFormatting sqref="M4:N4">
    <cfRule type="cellIs" dxfId="24" priority="65" operator="equal">
      <formula>"Yes"</formula>
    </cfRule>
  </conditionalFormatting>
  <conditionalFormatting sqref="N29:N34 L30:N30 N43:N67 O54:O64 L60:M64 L158:O162 O21 L146:N151 L150:O154 L6:O6 N7:O8 L9:O20 L51:M54 L155:N157">
    <cfRule type="containsText" dxfId="23" priority="45" operator="containsText" text="Completed">
      <formula>NOT(ISERROR(SEARCH("Completed",L6)))</formula>
    </cfRule>
  </conditionalFormatting>
  <conditionalFormatting sqref="N35 N30">
    <cfRule type="containsText" dxfId="22" priority="18" operator="containsText" text="Completed">
      <formula>NOT(ISERROR(SEARCH("Completed",N30)))</formula>
    </cfRule>
  </conditionalFormatting>
  <conditionalFormatting sqref="N35">
    <cfRule type="cellIs" dxfId="21" priority="17" operator="equal">
      <formula>"Yes"</formula>
    </cfRule>
  </conditionalFormatting>
  <conditionalFormatting sqref="O48 Q48 Q54 K84:K85 Q100:Q103 K106:O106 K112:N114">
    <cfRule type="cellIs" dxfId="20" priority="103" operator="equal">
      <formula>"Yes"</formula>
    </cfRule>
  </conditionalFormatting>
  <conditionalFormatting sqref="O48:O51">
    <cfRule type="containsText" dxfId="19" priority="67" operator="containsText" text="Completed">
      <formula>NOT(ISERROR(SEARCH("Completed",O48)))</formula>
    </cfRule>
  </conditionalFormatting>
  <conditionalFormatting sqref="O54">
    <cfRule type="cellIs" dxfId="18" priority="57" operator="equal">
      <formula>"Yes"</formula>
    </cfRule>
  </conditionalFormatting>
  <conditionalFormatting sqref="Q75:Q79">
    <cfRule type="cellIs" dxfId="17" priority="59" operator="equal">
      <formula>"Yes"</formula>
    </cfRule>
  </conditionalFormatting>
  <dataValidations count="5">
    <dataValidation allowBlank="1" showInputMessage="1" showErrorMessage="1" sqref="O106 L100:M114 L21:N21 O153:O154 L30:M30 O20 O161:O162 L117:M162 L54:M64 O43:O67 L29:L34 L9:M20 L7:M8" xr:uid="{13B32FE0-2EEE-42F8-9088-5937A426B611}"/>
    <dataValidation type="list" allowBlank="1" showInputMessage="1" showErrorMessage="1" sqref="Q48 O55 O53 O150:O154 O158:O162 O57:O64 O9:O20 O6:O8" xr:uid="{B367B265-99E5-41D8-85B6-33024F59068C}">
      <formula1>"Waiting on Financials,In Progress,Finalizing,Completed"</formula1>
    </dataValidation>
    <dataValidation type="list" allowBlank="1" showInputMessage="1" showErrorMessage="1" sqref="D76 D163 D141:D160 D127:D136 D123:D125 D120:D121 D118 D91:D116 D78:D89 D13" xr:uid="{12960D02-4CEB-486A-9C95-4246EC43CAEC}">
      <formula1>"Pass,Lost,On Hold"</formula1>
    </dataValidation>
    <dataValidation type="list" allowBlank="1" showInputMessage="1" showErrorMessage="1" sqref="O21" xr:uid="{F8937F36-EF9A-4060-A69C-793EBF60E034}">
      <formula1>"In Progress,Completed"</formula1>
    </dataValidation>
    <dataValidation type="list" allowBlank="1" showInputMessage="1" showErrorMessage="1" sqref="D161:F162 D126:F126 D122:F122 D117:F117 D119:F119 D90:F90 D77:F77 D75:F75" xr:uid="{984ECAF1-91ED-438A-B201-FBA29C3295D1}">
      <formula1>"Pass,Lost,On Hold,Sold"</formula1>
    </dataValidation>
  </dataValidations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04030-2CA9-4298-9EE8-D0BF336A32DC}">
  <dimension ref="A1:BD296"/>
  <sheetViews>
    <sheetView tabSelected="1" zoomScale="70" zoomScaleNormal="70" workbookViewId="0">
      <pane xSplit="3" topLeftCell="D1" activePane="topRight" state="frozen"/>
      <selection pane="topRight" activeCell="D14" sqref="D14"/>
    </sheetView>
  </sheetViews>
  <sheetFormatPr defaultColWidth="9.109375" defaultRowHeight="15.6" outlineLevelRow="1" outlineLevelCol="1" x14ac:dyDescent="0.3"/>
  <cols>
    <col min="1" max="1" width="11.6640625" style="193" bestFit="1" customWidth="1"/>
    <col min="2" max="2" width="11.33203125" style="193" customWidth="1"/>
    <col min="3" max="3" width="38.6640625" style="194" customWidth="1"/>
    <col min="4" max="4" width="20.6640625" style="194" customWidth="1" outlineLevel="1"/>
    <col min="5" max="5" width="10.6640625" style="194" customWidth="1" outlineLevel="1"/>
    <col min="6" max="6" width="27.33203125" style="194" customWidth="1" outlineLevel="1"/>
    <col min="7" max="7" width="20.6640625" style="341" customWidth="1" outlineLevel="1"/>
    <col min="8" max="8" width="10.6640625" style="469" customWidth="1" outlineLevel="1"/>
    <col min="9" max="9" width="26.6640625" style="341" customWidth="1" outlineLevel="1"/>
    <col min="10" max="10" width="20.6640625" style="341" customWidth="1" outlineLevel="1"/>
    <col min="11" max="11" width="10.6640625" style="341" customWidth="1" outlineLevel="1"/>
    <col min="12" max="12" width="25.109375" style="341" customWidth="1" outlineLevel="1"/>
    <col min="13" max="13" width="20" style="341" customWidth="1" outlineLevel="1"/>
    <col min="14" max="14" width="10.5546875" style="341" customWidth="1" outlineLevel="1"/>
    <col min="15" max="15" width="9" style="341" customWidth="1" outlineLevel="1"/>
    <col min="16" max="16" width="7" style="341" customWidth="1" outlineLevel="1"/>
    <col min="17" max="17" width="12.88671875" style="342" customWidth="1" outlineLevel="1"/>
    <col min="18" max="18" width="15" style="342" customWidth="1" outlineLevel="1"/>
    <col min="19" max="19" width="129.109375" style="341" customWidth="1" outlineLevel="1"/>
    <col min="20" max="20" width="3.6640625" style="341" customWidth="1"/>
    <col min="21" max="22" width="14.5546875" style="341" customWidth="1" outlineLevel="1"/>
    <col min="23" max="23" width="13.109375" style="341" customWidth="1" outlineLevel="1"/>
    <col min="24" max="24" width="14.88671875" style="341" customWidth="1" outlineLevel="1"/>
    <col min="25" max="25" width="17.6640625" style="341" customWidth="1" outlineLevel="1"/>
    <col min="26" max="26" width="20.109375" style="341" customWidth="1" outlineLevel="1"/>
    <col min="27" max="27" width="17.6640625" style="342" customWidth="1" outlineLevel="1"/>
    <col min="28" max="28" width="17.6640625" style="341" customWidth="1" outlineLevel="1"/>
    <col min="29" max="29" width="13.109375" style="342" customWidth="1" outlineLevel="1"/>
    <col min="30" max="30" width="28" style="343" customWidth="1"/>
    <col min="31" max="41" width="22.6640625" style="341" customWidth="1" outlineLevel="1"/>
    <col min="42" max="42" width="27.33203125" style="341" customWidth="1" outlineLevel="1"/>
    <col min="43" max="43" width="18.33203125" style="341" customWidth="1" outlineLevel="1"/>
    <col min="44" max="44" width="19.88671875" style="341" customWidth="1"/>
    <col min="45" max="45" width="17" style="342" bestFit="1" customWidth="1"/>
    <col min="46" max="46" width="20.5546875" style="343" bestFit="1" customWidth="1"/>
    <col min="47" max="47" width="19.88671875" style="341" bestFit="1" customWidth="1"/>
    <col min="48" max="48" width="17" style="342" bestFit="1" customWidth="1"/>
    <col min="49" max="49" width="20.5546875" style="343" bestFit="1" customWidth="1"/>
    <col min="50" max="50" width="20.5546875" style="343" customWidth="1"/>
    <col min="51" max="51" width="2.44140625" style="194" customWidth="1"/>
    <col min="52" max="16384" width="9.109375" style="194"/>
  </cols>
  <sheetData>
    <row r="1" spans="1:55" x14ac:dyDescent="0.3">
      <c r="A1" s="192">
        <v>46118</v>
      </c>
      <c r="D1" s="195"/>
      <c r="E1" s="195"/>
      <c r="F1" s="195"/>
      <c r="G1" s="196"/>
      <c r="H1" s="197"/>
      <c r="I1" s="196"/>
      <c r="J1" s="196"/>
      <c r="K1" s="196"/>
      <c r="L1" s="196"/>
      <c r="M1" s="196"/>
      <c r="N1" s="196"/>
      <c r="O1" s="196"/>
      <c r="P1" s="196"/>
      <c r="Q1" s="198"/>
      <c r="R1" s="198"/>
      <c r="S1" s="196"/>
      <c r="T1" s="196"/>
      <c r="U1" s="196"/>
      <c r="V1" s="196"/>
      <c r="W1" s="196"/>
      <c r="X1" s="196"/>
      <c r="Y1" s="196"/>
      <c r="Z1" s="196"/>
      <c r="AA1" s="198"/>
      <c r="AB1" s="196"/>
      <c r="AC1" s="198"/>
      <c r="AD1" s="199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8"/>
      <c r="AT1" s="199"/>
      <c r="AU1" s="196"/>
      <c r="AV1" s="198"/>
      <c r="AW1" s="199"/>
      <c r="AX1" s="199"/>
    </row>
    <row r="2" spans="1:55" x14ac:dyDescent="0.3">
      <c r="C2" s="470" t="s">
        <v>455</v>
      </c>
      <c r="D2" s="470"/>
      <c r="E2" s="195"/>
      <c r="F2" s="470" t="s">
        <v>456</v>
      </c>
      <c r="G2" s="470"/>
      <c r="H2" s="470"/>
      <c r="I2" s="470">
        <v>2025</v>
      </c>
      <c r="J2" s="470"/>
      <c r="K2" s="470"/>
      <c r="L2" s="470" t="s">
        <v>457</v>
      </c>
      <c r="M2" s="470"/>
      <c r="N2" s="470"/>
      <c r="O2" s="200"/>
      <c r="P2" s="200"/>
      <c r="Q2" s="201"/>
      <c r="R2" s="201"/>
      <c r="S2" s="200"/>
      <c r="T2" s="200"/>
      <c r="U2" s="196"/>
      <c r="V2" s="196"/>
      <c r="W2" s="196"/>
      <c r="X2" s="196"/>
      <c r="Y2" s="196"/>
      <c r="Z2" s="196"/>
      <c r="AA2" s="198"/>
      <c r="AB2" s="196"/>
      <c r="AC2" s="198"/>
      <c r="AD2" s="199"/>
      <c r="AE2" s="196"/>
      <c r="AF2" s="196"/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8"/>
      <c r="AT2" s="199"/>
      <c r="AU2" s="196"/>
      <c r="AV2" s="198"/>
      <c r="AW2" s="199"/>
      <c r="AX2" s="199"/>
    </row>
    <row r="3" spans="1:55" ht="7.5" customHeight="1" x14ac:dyDescent="0.3">
      <c r="C3" s="202"/>
      <c r="D3" s="202"/>
      <c r="E3" s="202"/>
      <c r="F3" s="202"/>
      <c r="G3" s="203"/>
      <c r="H3" s="204"/>
      <c r="I3" s="202"/>
      <c r="J3" s="203"/>
      <c r="K3" s="204"/>
      <c r="L3" s="202"/>
      <c r="M3" s="203"/>
      <c r="N3" s="205"/>
      <c r="O3" s="205"/>
      <c r="P3" s="205"/>
      <c r="Q3" s="206"/>
      <c r="R3" s="206"/>
      <c r="S3" s="205"/>
      <c r="T3" s="205"/>
      <c r="U3" s="203"/>
      <c r="V3" s="203"/>
      <c r="W3" s="203"/>
      <c r="X3" s="203"/>
      <c r="Y3" s="203"/>
      <c r="Z3" s="203"/>
      <c r="AA3" s="207"/>
      <c r="AB3" s="203"/>
      <c r="AC3" s="207"/>
      <c r="AD3" s="208"/>
      <c r="AE3" s="203"/>
      <c r="AF3" s="203"/>
      <c r="AG3" s="203"/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7"/>
      <c r="AT3" s="208"/>
      <c r="AU3" s="203"/>
      <c r="AV3" s="207"/>
      <c r="AW3" s="208"/>
      <c r="AX3" s="208"/>
    </row>
    <row r="4" spans="1:55" x14ac:dyDescent="0.3">
      <c r="C4" s="209" t="s">
        <v>458</v>
      </c>
      <c r="D4" s="210">
        <f>G20</f>
        <v>148600000</v>
      </c>
      <c r="E4" s="202"/>
      <c r="F4" s="209" t="s">
        <v>459</v>
      </c>
      <c r="G4" s="211">
        <f>D284</f>
        <v>16</v>
      </c>
      <c r="H4" s="212"/>
      <c r="I4" s="209" t="s">
        <v>459</v>
      </c>
      <c r="J4" s="211">
        <f>D283</f>
        <v>73</v>
      </c>
      <c r="K4" s="212"/>
      <c r="L4" s="209" t="s">
        <v>459</v>
      </c>
      <c r="M4" s="211">
        <f>D282</f>
        <v>92</v>
      </c>
      <c r="N4" s="205"/>
      <c r="O4" s="205"/>
      <c r="P4" s="205"/>
      <c r="Q4" s="206"/>
      <c r="R4" s="206"/>
      <c r="S4" s="205"/>
      <c r="T4" s="205"/>
      <c r="U4" s="203"/>
      <c r="V4" s="203"/>
      <c r="W4" s="203"/>
      <c r="X4" s="203"/>
      <c r="Y4" s="203"/>
      <c r="Z4" s="203"/>
      <c r="AA4" s="207"/>
      <c r="AB4" s="203"/>
      <c r="AC4" s="207"/>
      <c r="AD4" s="208"/>
      <c r="AE4" s="203"/>
      <c r="AF4" s="203"/>
      <c r="AG4" s="203"/>
      <c r="AH4" s="203"/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7"/>
      <c r="AT4" s="208"/>
      <c r="AU4" s="203"/>
      <c r="AV4" s="207"/>
      <c r="AW4" s="208"/>
      <c r="AX4" s="208"/>
    </row>
    <row r="5" spans="1:55" x14ac:dyDescent="0.3">
      <c r="C5" s="209" t="s">
        <v>460</v>
      </c>
      <c r="D5" s="210">
        <f>G31</f>
        <v>129400000</v>
      </c>
      <c r="E5" s="202"/>
      <c r="F5" s="209" t="s">
        <v>443</v>
      </c>
      <c r="G5" s="211">
        <f>C284</f>
        <v>12</v>
      </c>
      <c r="H5" s="213">
        <f>IFERROR(G5/$G$4,"n/a")</f>
        <v>0.75</v>
      </c>
      <c r="I5" s="209" t="s">
        <v>443</v>
      </c>
      <c r="J5" s="211">
        <f>C283</f>
        <v>45</v>
      </c>
      <c r="K5" s="213">
        <f>IFERROR(J5/$J$4,"n/a")</f>
        <v>0.61643835616438358</v>
      </c>
      <c r="L5" s="209" t="s">
        <v>443</v>
      </c>
      <c r="M5" s="211">
        <f>C282</f>
        <v>58</v>
      </c>
      <c r="N5" s="213">
        <f>M5/M4</f>
        <v>0.63043478260869568</v>
      </c>
      <c r="O5" s="205"/>
      <c r="P5" s="205"/>
      <c r="Q5" s="206"/>
      <c r="R5" s="206"/>
      <c r="S5" s="205"/>
      <c r="T5" s="205"/>
      <c r="U5" s="203"/>
      <c r="V5" s="203"/>
      <c r="W5" s="203"/>
      <c r="X5" s="203"/>
      <c r="Y5" s="203"/>
      <c r="Z5" s="203"/>
      <c r="AA5" s="207"/>
      <c r="AB5" s="203"/>
      <c r="AC5" s="207"/>
      <c r="AD5" s="208"/>
      <c r="AE5" s="203"/>
      <c r="AF5" s="203"/>
      <c r="AG5" s="203"/>
      <c r="AH5" s="203"/>
      <c r="AI5" s="203"/>
      <c r="AJ5" s="203"/>
      <c r="AK5" s="203"/>
      <c r="AL5" s="203"/>
      <c r="AM5" s="203"/>
      <c r="AN5" s="203"/>
      <c r="AO5" s="203"/>
      <c r="AP5" s="203"/>
      <c r="AQ5" s="203"/>
      <c r="AR5" s="203"/>
      <c r="AS5" s="207"/>
      <c r="AT5" s="208"/>
      <c r="AU5" s="203"/>
      <c r="AV5" s="207"/>
      <c r="AW5" s="208"/>
      <c r="AX5" s="208"/>
    </row>
    <row r="6" spans="1:55" x14ac:dyDescent="0.3">
      <c r="C6" s="209" t="s">
        <v>461</v>
      </c>
      <c r="D6" s="210">
        <f>G45</f>
        <v>654150000</v>
      </c>
      <c r="E6" s="202"/>
      <c r="F6" s="209" t="s">
        <v>462</v>
      </c>
      <c r="G6" s="211">
        <f>COUNTIFS($P$15:$P$268,"2026",$Q$15:$Q$268,"&lt;&gt;"&amp;"")</f>
        <v>5</v>
      </c>
      <c r="H6" s="213">
        <f>G6/G4</f>
        <v>0.3125</v>
      </c>
      <c r="I6" s="209" t="s">
        <v>462</v>
      </c>
      <c r="J6" s="211">
        <f>COUNTIFS($P$15:$P$268,"2025",$Q$15:$Q$268,"&lt;&gt;"&amp;"")</f>
        <v>12</v>
      </c>
      <c r="K6" s="213">
        <f>J6/J4</f>
        <v>0.16438356164383561</v>
      </c>
      <c r="L6" s="209" t="s">
        <v>462</v>
      </c>
      <c r="M6" s="211">
        <v>1</v>
      </c>
      <c r="N6" s="213">
        <f>M6/M4</f>
        <v>1.0869565217391304E-2</v>
      </c>
      <c r="O6" s="205"/>
      <c r="P6" s="205"/>
      <c r="Q6" s="206"/>
      <c r="R6" s="206"/>
      <c r="S6" s="205"/>
      <c r="T6" s="205"/>
      <c r="U6" s="203"/>
      <c r="V6" s="203"/>
      <c r="W6" s="203"/>
      <c r="X6" s="203"/>
      <c r="Y6" s="203"/>
      <c r="Z6" s="203"/>
      <c r="AA6" s="207"/>
      <c r="AB6" s="203"/>
      <c r="AC6" s="207"/>
      <c r="AD6" s="208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7"/>
      <c r="AT6" s="208"/>
      <c r="AU6" s="203"/>
      <c r="AV6" s="207"/>
      <c r="AW6" s="208"/>
      <c r="AX6" s="208"/>
    </row>
    <row r="7" spans="1:55" x14ac:dyDescent="0.3">
      <c r="C7" s="209" t="s">
        <v>463</v>
      </c>
      <c r="D7" s="214">
        <f>G60</f>
        <v>607000000</v>
      </c>
      <c r="E7" s="202"/>
      <c r="F7" s="209" t="s">
        <v>464</v>
      </c>
      <c r="G7" s="211">
        <f>COUNTIFS($P$15:$P$268,"2026",$R$15:$R$268,"&lt;&gt;"&amp;"")</f>
        <v>2</v>
      </c>
      <c r="H7" s="213">
        <f>IFERROR(G7/G6,"n/a")</f>
        <v>0.4</v>
      </c>
      <c r="I7" s="209" t="s">
        <v>464</v>
      </c>
      <c r="J7" s="211">
        <f>COUNTIFS($P$15:$P$268,"2025",$R$15:$R$268,"&lt;&gt;"&amp;"")</f>
        <v>5</v>
      </c>
      <c r="K7" s="213">
        <f>J7/J6</f>
        <v>0.41666666666666669</v>
      </c>
      <c r="L7" s="209" t="s">
        <v>464</v>
      </c>
      <c r="M7" s="211">
        <f>COUNTIFS($P$19:$P$268,"2024",$R$19:$R$268,"&lt;&gt;"&amp;"")</f>
        <v>0</v>
      </c>
      <c r="N7" s="213">
        <f>M7/M6</f>
        <v>0</v>
      </c>
      <c r="O7" s="205"/>
      <c r="P7" s="205"/>
      <c r="Q7" s="206"/>
      <c r="R7" s="206"/>
      <c r="S7" s="205"/>
      <c r="T7" s="205"/>
      <c r="U7" s="203"/>
      <c r="V7" s="203"/>
      <c r="W7" s="203"/>
      <c r="X7" s="203"/>
      <c r="Y7" s="203"/>
      <c r="Z7" s="203"/>
      <c r="AA7" s="207"/>
      <c r="AB7" s="203"/>
      <c r="AC7" s="207"/>
      <c r="AD7" s="208"/>
      <c r="AE7" s="203"/>
      <c r="AF7" s="203"/>
      <c r="AG7" s="203"/>
      <c r="AH7" s="203"/>
      <c r="AI7" s="203"/>
      <c r="AJ7" s="203"/>
      <c r="AK7" s="203"/>
      <c r="AL7" s="203"/>
      <c r="AM7" s="203"/>
      <c r="AN7" s="203"/>
      <c r="AO7" s="203"/>
      <c r="AP7" s="203"/>
      <c r="AQ7" s="203"/>
      <c r="AR7" s="203"/>
      <c r="AS7" s="207"/>
      <c r="AT7" s="208"/>
      <c r="AU7" s="203"/>
      <c r="AV7" s="207"/>
      <c r="AW7" s="208"/>
      <c r="AX7" s="208"/>
    </row>
    <row r="8" spans="1:55" x14ac:dyDescent="0.3">
      <c r="C8" s="215" t="s">
        <v>148</v>
      </c>
      <c r="D8" s="214">
        <f>G108</f>
        <v>622000000</v>
      </c>
      <c r="E8" s="202"/>
      <c r="F8" s="209" t="s">
        <v>465</v>
      </c>
      <c r="G8" s="211">
        <v>2</v>
      </c>
      <c r="H8" s="212"/>
      <c r="I8" s="209" t="s">
        <v>465</v>
      </c>
      <c r="J8" s="211">
        <v>0</v>
      </c>
      <c r="K8" s="212"/>
      <c r="L8" s="209" t="s">
        <v>465</v>
      </c>
      <c r="M8" s="211">
        <v>0</v>
      </c>
      <c r="N8" s="205"/>
      <c r="O8" s="205"/>
      <c r="P8" s="205"/>
      <c r="Q8" s="206"/>
      <c r="R8" s="206"/>
      <c r="S8" s="205"/>
      <c r="T8" s="205"/>
      <c r="U8" s="203"/>
      <c r="V8" s="203"/>
      <c r="W8" s="203"/>
      <c r="X8" s="203"/>
      <c r="Y8" s="203"/>
      <c r="Z8" s="203"/>
      <c r="AA8" s="207"/>
      <c r="AB8" s="203"/>
      <c r="AC8" s="207"/>
      <c r="AD8" s="208"/>
      <c r="AE8" s="203"/>
      <c r="AF8" s="203"/>
      <c r="AG8" s="203"/>
      <c r="AH8" s="203"/>
      <c r="AI8" s="203"/>
      <c r="AJ8" s="203"/>
      <c r="AK8" s="203"/>
      <c r="AL8" s="203"/>
      <c r="AM8" s="203"/>
      <c r="AN8" s="203"/>
      <c r="AO8" s="203"/>
      <c r="AP8" s="203"/>
      <c r="AQ8" s="203"/>
      <c r="AR8" s="203"/>
      <c r="AS8" s="207"/>
      <c r="AT8" s="208"/>
      <c r="AU8" s="203"/>
      <c r="AV8" s="207"/>
      <c r="AW8" s="208"/>
      <c r="AX8" s="208"/>
    </row>
    <row r="9" spans="1:55" ht="16.2" thickBot="1" x14ac:dyDescent="0.35">
      <c r="C9" s="202"/>
      <c r="D9" s="216">
        <f>SUM(D4:D8)</f>
        <v>2161150000</v>
      </c>
      <c r="E9" s="202"/>
      <c r="F9" s="209" t="s">
        <v>48</v>
      </c>
      <c r="G9" s="211">
        <f>L284</f>
        <v>4</v>
      </c>
      <c r="H9" s="213">
        <f>IFERROR(G9/$G$4,"n/a")</f>
        <v>0.25</v>
      </c>
      <c r="I9" s="209" t="s">
        <v>48</v>
      </c>
      <c r="J9" s="211">
        <f>L283</f>
        <v>25</v>
      </c>
      <c r="K9" s="213">
        <f>IFERROR(J9/$J$4,"n/a")</f>
        <v>0.34246575342465752</v>
      </c>
      <c r="L9" s="209" t="s">
        <v>48</v>
      </c>
      <c r="M9" s="211">
        <f>L282</f>
        <v>45</v>
      </c>
      <c r="N9" s="217">
        <f>M9/M4</f>
        <v>0.4891304347826087</v>
      </c>
      <c r="O9" s="205"/>
      <c r="P9" s="205"/>
      <c r="Q9" s="206"/>
      <c r="R9" s="206"/>
      <c r="S9" s="205"/>
      <c r="T9" s="205"/>
      <c r="U9" s="205"/>
      <c r="V9" s="205"/>
      <c r="W9" s="203"/>
      <c r="X9" s="203"/>
      <c r="Y9" s="203"/>
      <c r="Z9" s="203"/>
      <c r="AA9" s="207"/>
      <c r="AB9" s="203"/>
      <c r="AC9" s="207"/>
      <c r="AD9" s="218"/>
      <c r="AE9" s="203"/>
      <c r="AF9" s="203"/>
      <c r="AG9" s="203"/>
      <c r="AH9" s="203"/>
      <c r="AI9" s="203"/>
      <c r="AJ9" s="203"/>
      <c r="AK9" s="203"/>
      <c r="AL9" s="203"/>
      <c r="AM9" s="203"/>
      <c r="AN9" s="203"/>
      <c r="AO9" s="203"/>
      <c r="AP9" s="203"/>
      <c r="AQ9" s="203"/>
      <c r="AR9" s="203"/>
      <c r="AS9" s="206"/>
      <c r="AT9" s="218"/>
      <c r="AU9" s="203"/>
      <c r="AV9" s="206"/>
      <c r="AW9" s="218"/>
      <c r="AX9" s="218"/>
    </row>
    <row r="10" spans="1:55" ht="16.2" thickTop="1" x14ac:dyDescent="0.3">
      <c r="C10" s="202"/>
      <c r="D10" s="202"/>
      <c r="E10" s="202"/>
      <c r="F10" s="209" t="s">
        <v>466</v>
      </c>
      <c r="G10" s="211">
        <f>N284</f>
        <v>2</v>
      </c>
      <c r="H10" s="213">
        <f>IFERROR(G10/$G$4,"n/a")</f>
        <v>0.125</v>
      </c>
      <c r="I10" s="209" t="s">
        <v>466</v>
      </c>
      <c r="J10" s="211">
        <f>N283</f>
        <v>22</v>
      </c>
      <c r="K10" s="213">
        <f>IFERROR(J10/$J$4,"n/a")</f>
        <v>0.30136986301369861</v>
      </c>
      <c r="L10" s="209" t="s">
        <v>466</v>
      </c>
      <c r="M10" s="211">
        <f>N282</f>
        <v>33</v>
      </c>
      <c r="N10" s="217">
        <f>M10/M4</f>
        <v>0.35869565217391303</v>
      </c>
      <c r="O10" s="205"/>
      <c r="P10" s="205"/>
      <c r="Q10" s="206"/>
      <c r="R10" s="206"/>
      <c r="S10" s="205"/>
      <c r="T10" s="205"/>
      <c r="U10" s="205"/>
      <c r="V10" s="205"/>
      <c r="W10" s="203"/>
      <c r="X10" s="203"/>
      <c r="Y10" s="203"/>
      <c r="Z10" s="203"/>
      <c r="AA10" s="207"/>
      <c r="AB10" s="203"/>
      <c r="AC10" s="207"/>
      <c r="AD10" s="218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3"/>
      <c r="AP10" s="203"/>
      <c r="AQ10" s="203"/>
      <c r="AR10" s="203"/>
      <c r="AS10" s="206"/>
      <c r="AT10" s="218"/>
      <c r="AU10" s="203"/>
      <c r="AV10" s="206"/>
      <c r="AW10" s="218"/>
      <c r="AX10" s="218"/>
    </row>
    <row r="11" spans="1:55" x14ac:dyDescent="0.3">
      <c r="C11" s="209" t="s">
        <v>467</v>
      </c>
      <c r="D11" s="210">
        <f>G268</f>
        <v>1588199000</v>
      </c>
      <c r="E11" s="193"/>
      <c r="F11" s="209" t="s">
        <v>468</v>
      </c>
      <c r="G11" s="219">
        <f>COUNTIFS($P$15:$P$268,"2026",$Q$15:$Q$268,"&lt;&gt;"&amp;"",$L$15:$L$268,"Off-Market")/J6</f>
        <v>0.16666666666666666</v>
      </c>
      <c r="H11" s="220"/>
      <c r="I11" s="209" t="s">
        <v>468</v>
      </c>
      <c r="J11" s="219">
        <f>COUNTIFS($P$15:$P$268,"2025",$Q$15:$Q$268,"&lt;&gt;"&amp;"",$L$15:$L$268,"Off-Market")/J6</f>
        <v>0.5</v>
      </c>
      <c r="K11" s="220"/>
      <c r="L11" s="209" t="s">
        <v>468</v>
      </c>
      <c r="M11" s="219">
        <f>COUNTIFS($P$19:$P$268,"2024",$Q$19:$Q$268,"&lt;&gt;"&amp;"",$L$19:$L$268,"Off-Market")/M6</f>
        <v>0</v>
      </c>
      <c r="N11" s="217"/>
      <c r="O11" s="205"/>
      <c r="P11" s="205"/>
      <c r="Q11" s="206"/>
      <c r="R11" s="206"/>
      <c r="S11" s="205"/>
      <c r="T11" s="205"/>
      <c r="U11" s="205"/>
      <c r="V11" s="205"/>
      <c r="W11" s="203"/>
      <c r="X11" s="203"/>
      <c r="Y11" s="203"/>
      <c r="Z11" s="203"/>
      <c r="AA11" s="207"/>
      <c r="AB11" s="203"/>
      <c r="AC11" s="207"/>
      <c r="AD11" s="218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6"/>
      <c r="AT11" s="218"/>
      <c r="AU11" s="203"/>
      <c r="AV11" s="206"/>
      <c r="AW11" s="218"/>
      <c r="AX11" s="218"/>
    </row>
    <row r="12" spans="1:55" x14ac:dyDescent="0.3">
      <c r="C12" s="209" t="s">
        <v>469</v>
      </c>
      <c r="D12" s="210">
        <f>SUM(D11,D9)</f>
        <v>3749349000</v>
      </c>
      <c r="E12" s="193"/>
      <c r="F12" s="193"/>
      <c r="G12" s="193"/>
      <c r="H12" s="193"/>
      <c r="I12" s="193"/>
      <c r="J12" s="193"/>
      <c r="K12" s="217"/>
      <c r="L12" s="205"/>
      <c r="M12" s="205"/>
      <c r="N12" s="205"/>
      <c r="O12" s="205"/>
      <c r="P12" s="205"/>
      <c r="Q12" s="206"/>
      <c r="R12" s="206"/>
      <c r="S12" s="205"/>
      <c r="T12" s="205"/>
      <c r="U12" s="205"/>
      <c r="V12" s="205"/>
      <c r="W12" s="203"/>
      <c r="X12" s="203"/>
      <c r="Y12" s="203"/>
      <c r="Z12" s="203"/>
      <c r="AA12" s="207"/>
      <c r="AB12" s="203"/>
      <c r="AC12" s="207"/>
      <c r="AD12" s="218"/>
      <c r="AE12" s="203"/>
      <c r="AF12" s="203"/>
      <c r="AG12" s="203"/>
      <c r="AH12" s="203"/>
      <c r="AI12" s="203"/>
      <c r="AJ12" s="203"/>
      <c r="AK12" s="203"/>
      <c r="AL12" s="203"/>
      <c r="AM12" s="203"/>
      <c r="AN12" s="203"/>
      <c r="AO12" s="203"/>
      <c r="AP12" s="203"/>
      <c r="AQ12" s="203"/>
      <c r="AR12" s="203"/>
      <c r="AS12" s="206"/>
      <c r="AT12" s="218"/>
      <c r="AU12" s="203"/>
      <c r="AV12" s="206"/>
      <c r="AW12" s="218"/>
      <c r="AX12" s="218"/>
    </row>
    <row r="13" spans="1:55" x14ac:dyDescent="0.3">
      <c r="C13" s="496"/>
      <c r="D13" s="497"/>
      <c r="E13" s="497"/>
      <c r="F13" s="497"/>
      <c r="G13" s="497"/>
      <c r="H13" s="498"/>
      <c r="I13" s="497"/>
      <c r="J13" s="497"/>
      <c r="K13" s="497"/>
      <c r="L13" s="497"/>
      <c r="M13" s="499"/>
      <c r="N13" s="499"/>
      <c r="O13" s="499"/>
      <c r="P13" s="471" t="s">
        <v>470</v>
      </c>
      <c r="Q13" s="472"/>
      <c r="R13" s="473"/>
      <c r="S13" s="499"/>
      <c r="T13" s="499"/>
      <c r="U13" s="477" t="s">
        <v>471</v>
      </c>
      <c r="V13" s="475"/>
      <c r="W13" s="475"/>
      <c r="X13" s="475"/>
      <c r="Y13" s="475"/>
      <c r="Z13" s="475"/>
      <c r="AA13" s="475"/>
      <c r="AB13" s="475"/>
      <c r="AC13" s="475"/>
      <c r="AD13" s="476"/>
      <c r="AE13" s="478" t="s">
        <v>472</v>
      </c>
      <c r="AF13" s="479"/>
      <c r="AG13" s="479"/>
      <c r="AH13" s="479"/>
      <c r="AI13" s="479"/>
      <c r="AJ13" s="479"/>
      <c r="AK13" s="479"/>
      <c r="AL13" s="479"/>
      <c r="AM13" s="479"/>
      <c r="AN13" s="479"/>
      <c r="AO13" s="479"/>
      <c r="AP13" s="500"/>
      <c r="AQ13" s="491"/>
      <c r="AR13" s="479" t="s">
        <v>473</v>
      </c>
      <c r="AS13" s="479"/>
      <c r="AT13" s="479"/>
      <c r="AU13" s="479"/>
      <c r="AV13" s="479"/>
      <c r="AW13" s="479"/>
      <c r="AX13" s="479"/>
    </row>
    <row r="14" spans="1:55" x14ac:dyDescent="0.3">
      <c r="A14" s="222"/>
      <c r="B14" s="222"/>
      <c r="C14" s="209" t="s">
        <v>0</v>
      </c>
      <c r="D14" s="209" t="s">
        <v>1</v>
      </c>
      <c r="E14" s="209" t="s">
        <v>2</v>
      </c>
      <c r="F14" s="209" t="s">
        <v>3</v>
      </c>
      <c r="G14" s="209" t="s">
        <v>4</v>
      </c>
      <c r="H14" s="223" t="s">
        <v>474</v>
      </c>
      <c r="I14" s="209" t="s">
        <v>5</v>
      </c>
      <c r="J14" s="209" t="s">
        <v>6</v>
      </c>
      <c r="K14" s="209" t="s">
        <v>7</v>
      </c>
      <c r="L14" s="209" t="s">
        <v>8</v>
      </c>
      <c r="M14" s="209" t="s">
        <v>9</v>
      </c>
      <c r="N14" s="209" t="s">
        <v>10</v>
      </c>
      <c r="O14" s="209" t="s">
        <v>11</v>
      </c>
      <c r="P14" s="209" t="s">
        <v>16</v>
      </c>
      <c r="Q14" s="224" t="s">
        <v>475</v>
      </c>
      <c r="R14" s="224" t="s">
        <v>476</v>
      </c>
      <c r="S14" s="209" t="s">
        <v>12</v>
      </c>
      <c r="T14" s="225"/>
      <c r="U14" s="226"/>
      <c r="V14" s="227"/>
      <c r="W14" s="227"/>
      <c r="X14" s="227"/>
      <c r="Y14" s="227"/>
      <c r="Z14" s="227"/>
      <c r="AA14" s="228"/>
      <c r="AB14" s="227"/>
      <c r="AC14" s="229"/>
      <c r="AD14" s="230" t="s">
        <v>477</v>
      </c>
      <c r="AE14" s="477" t="s">
        <v>478</v>
      </c>
      <c r="AF14" s="475"/>
      <c r="AG14" s="475"/>
      <c r="AH14" s="475"/>
      <c r="AI14" s="475"/>
      <c r="AJ14" s="475"/>
      <c r="AK14" s="475"/>
      <c r="AL14" s="475"/>
      <c r="AM14" s="475"/>
      <c r="AN14" s="475"/>
      <c r="AO14" s="476"/>
      <c r="AP14" s="501"/>
      <c r="AQ14" s="221" t="s">
        <v>479</v>
      </c>
      <c r="AR14" s="474" t="s">
        <v>480</v>
      </c>
      <c r="AS14" s="475"/>
      <c r="AT14" s="475"/>
      <c r="AU14" s="474" t="s">
        <v>481</v>
      </c>
      <c r="AV14" s="475"/>
      <c r="AW14" s="476"/>
      <c r="AX14" s="231" t="s">
        <v>482</v>
      </c>
    </row>
    <row r="15" spans="1:55" x14ac:dyDescent="0.3">
      <c r="A15" s="222"/>
      <c r="B15" s="222"/>
      <c r="C15" s="232" t="s">
        <v>458</v>
      </c>
      <c r="D15" s="233"/>
      <c r="E15" s="233"/>
      <c r="F15" s="233"/>
      <c r="G15" s="234"/>
      <c r="H15" s="235"/>
      <c r="I15" s="234"/>
      <c r="J15" s="234"/>
      <c r="K15" s="234"/>
      <c r="L15" s="234"/>
      <c r="M15" s="234"/>
      <c r="N15" s="234"/>
      <c r="O15" s="234"/>
      <c r="P15" s="234"/>
      <c r="Q15" s="236"/>
      <c r="R15" s="236"/>
      <c r="S15" s="233"/>
      <c r="T15" s="233"/>
      <c r="U15" s="234" t="s">
        <v>483</v>
      </c>
      <c r="V15" s="234" t="s">
        <v>484</v>
      </c>
      <c r="W15" s="234" t="s">
        <v>485</v>
      </c>
      <c r="X15" s="234" t="s">
        <v>486</v>
      </c>
      <c r="Y15" s="234" t="s">
        <v>487</v>
      </c>
      <c r="Z15" s="234" t="s">
        <v>488</v>
      </c>
      <c r="AA15" s="236" t="s">
        <v>489</v>
      </c>
      <c r="AB15" s="234" t="s">
        <v>490</v>
      </c>
      <c r="AC15" s="236" t="s">
        <v>491</v>
      </c>
      <c r="AD15" s="237" t="s">
        <v>492</v>
      </c>
      <c r="AE15" s="238" t="s">
        <v>493</v>
      </c>
      <c r="AF15" s="238" t="s">
        <v>28</v>
      </c>
      <c r="AG15" s="239" t="s">
        <v>494</v>
      </c>
      <c r="AH15" s="240" t="s">
        <v>495</v>
      </c>
      <c r="AI15" s="238" t="s">
        <v>28</v>
      </c>
      <c r="AJ15" s="239" t="s">
        <v>494</v>
      </c>
      <c r="AK15" s="240" t="s">
        <v>496</v>
      </c>
      <c r="AL15" s="238" t="s">
        <v>28</v>
      </c>
      <c r="AM15" s="241" t="s">
        <v>494</v>
      </c>
      <c r="AN15" s="240" t="s">
        <v>497</v>
      </c>
      <c r="AO15" s="238" t="s">
        <v>28</v>
      </c>
      <c r="AP15" s="241" t="s">
        <v>498</v>
      </c>
      <c r="AQ15" s="492" t="s">
        <v>479</v>
      </c>
      <c r="AR15" s="243" t="s">
        <v>499</v>
      </c>
      <c r="AS15" s="244" t="s">
        <v>500</v>
      </c>
      <c r="AT15" s="245" t="s">
        <v>501</v>
      </c>
      <c r="AU15" s="243" t="s">
        <v>502</v>
      </c>
      <c r="AV15" s="244" t="s">
        <v>500</v>
      </c>
      <c r="AW15" s="245" t="s">
        <v>501</v>
      </c>
      <c r="AX15" s="246" t="s">
        <v>501</v>
      </c>
    </row>
    <row r="16" spans="1:55" x14ac:dyDescent="0.3">
      <c r="A16" s="222">
        <v>2025</v>
      </c>
      <c r="B16" s="222" t="s">
        <v>35</v>
      </c>
      <c r="C16" s="247" t="s">
        <v>155</v>
      </c>
      <c r="D16" s="247" t="s">
        <v>156</v>
      </c>
      <c r="E16" s="247" t="s">
        <v>157</v>
      </c>
      <c r="F16" s="247" t="s">
        <v>458</v>
      </c>
      <c r="G16" s="248">
        <v>18600000</v>
      </c>
      <c r="H16" s="249">
        <v>0.25600000000000001</v>
      </c>
      <c r="I16" s="250" t="s">
        <v>503</v>
      </c>
      <c r="J16" s="251">
        <f>238+105</f>
        <v>343</v>
      </c>
      <c r="K16" s="252">
        <v>0.7</v>
      </c>
      <c r="L16" s="250" t="s">
        <v>48</v>
      </c>
      <c r="M16" s="250" t="s">
        <v>504</v>
      </c>
      <c r="N16" s="211" t="str">
        <f>IF(L16="Broker","","Yes")</f>
        <v>Yes</v>
      </c>
      <c r="O16" s="253" t="s">
        <v>116</v>
      </c>
      <c r="P16" s="250">
        <v>2025</v>
      </c>
      <c r="Q16" s="254">
        <v>45895</v>
      </c>
      <c r="R16" s="254">
        <v>45896</v>
      </c>
      <c r="S16" s="247" t="s">
        <v>505</v>
      </c>
      <c r="T16" s="247"/>
      <c r="U16" s="255">
        <v>45950</v>
      </c>
      <c r="V16" s="211" t="s">
        <v>506</v>
      </c>
      <c r="W16" s="255">
        <v>45954</v>
      </c>
      <c r="X16" s="255">
        <v>45954</v>
      </c>
      <c r="Y16" s="211">
        <v>45</v>
      </c>
      <c r="Z16" s="211">
        <v>0</v>
      </c>
      <c r="AA16" s="256">
        <v>46037</v>
      </c>
      <c r="AB16" s="211" t="s">
        <v>454</v>
      </c>
      <c r="AC16" s="257">
        <v>46053</v>
      </c>
      <c r="AD16" s="258">
        <f>IF(R16="","",$A$1-R16)</f>
        <v>222</v>
      </c>
      <c r="AE16" s="407" t="s">
        <v>507</v>
      </c>
      <c r="AF16" s="407" t="s">
        <v>34</v>
      </c>
      <c r="AG16" s="512">
        <v>45986</v>
      </c>
      <c r="AH16" s="405" t="s">
        <v>507</v>
      </c>
      <c r="AI16" s="407" t="s">
        <v>34</v>
      </c>
      <c r="AJ16" s="512">
        <v>45986</v>
      </c>
      <c r="AK16" s="405" t="s">
        <v>508</v>
      </c>
      <c r="AL16" s="407" t="s">
        <v>34</v>
      </c>
      <c r="AM16" s="514"/>
      <c r="AN16" s="405" t="s">
        <v>509</v>
      </c>
      <c r="AO16" s="407" t="s">
        <v>34</v>
      </c>
      <c r="AP16" s="515"/>
      <c r="AQ16" s="205" t="s">
        <v>900</v>
      </c>
      <c r="AR16" s="262">
        <v>3</v>
      </c>
      <c r="AS16" s="263">
        <f>IF(W16="","TBD",W16+AR16)</f>
        <v>45957</v>
      </c>
      <c r="AT16" s="264">
        <v>250000</v>
      </c>
      <c r="AU16" s="262">
        <v>3</v>
      </c>
      <c r="AV16" s="255">
        <f>IF(AA16="","TBD",AA16+AU16)</f>
        <v>46040</v>
      </c>
      <c r="AW16" s="264">
        <v>350000</v>
      </c>
      <c r="AX16" s="265">
        <f>SUM(AW16,AT16)</f>
        <v>600000</v>
      </c>
      <c r="AY16" s="266"/>
      <c r="AZ16" s="266"/>
      <c r="BA16" s="266"/>
      <c r="BB16" s="266"/>
      <c r="BC16" s="266"/>
    </row>
    <row r="17" spans="1:56" s="266" customFormat="1" x14ac:dyDescent="0.3">
      <c r="A17" s="222">
        <v>2025</v>
      </c>
      <c r="B17" s="222" t="s">
        <v>35</v>
      </c>
      <c r="C17" s="267" t="s">
        <v>511</v>
      </c>
      <c r="D17" s="267" t="s">
        <v>331</v>
      </c>
      <c r="E17" s="267" t="s">
        <v>31</v>
      </c>
      <c r="F17" s="267" t="s">
        <v>458</v>
      </c>
      <c r="G17" s="268">
        <v>94000000</v>
      </c>
      <c r="H17" s="269">
        <v>0.22800000000000001</v>
      </c>
      <c r="I17" s="270" t="s">
        <v>503</v>
      </c>
      <c r="J17" s="271">
        <v>254</v>
      </c>
      <c r="K17" s="272">
        <v>0.7</v>
      </c>
      <c r="L17" s="270" t="s">
        <v>32</v>
      </c>
      <c r="M17" s="270" t="s">
        <v>100</v>
      </c>
      <c r="N17" s="273" t="str">
        <f>IF(L17="Broker","","Yes")</f>
        <v/>
      </c>
      <c r="O17" s="274">
        <v>1.36</v>
      </c>
      <c r="P17" s="270">
        <v>2026</v>
      </c>
      <c r="Q17" s="275">
        <v>46043</v>
      </c>
      <c r="R17" s="275">
        <v>46059</v>
      </c>
      <c r="S17" s="267" t="s">
        <v>512</v>
      </c>
      <c r="T17" s="276"/>
      <c r="U17" s="275">
        <v>45828</v>
      </c>
      <c r="V17" s="270" t="s">
        <v>513</v>
      </c>
      <c r="W17" s="275">
        <v>45898</v>
      </c>
      <c r="X17" s="275">
        <v>46063</v>
      </c>
      <c r="Y17" s="270">
        <f>AA17-X17</f>
        <v>27</v>
      </c>
      <c r="Z17" s="270">
        <v>0</v>
      </c>
      <c r="AA17" s="277">
        <v>46090</v>
      </c>
      <c r="AB17" s="270">
        <f>AC17-AA17</f>
        <v>4</v>
      </c>
      <c r="AC17" s="277">
        <v>46094</v>
      </c>
      <c r="AD17" s="270">
        <f t="shared" ref="AD17" si="0">IF(R17="","",$A$1-R17)</f>
        <v>59</v>
      </c>
      <c r="AE17" s="407" t="s">
        <v>507</v>
      </c>
      <c r="AF17" s="406" t="s">
        <v>34</v>
      </c>
      <c r="AG17" s="513">
        <v>45931</v>
      </c>
      <c r="AH17" s="405" t="s">
        <v>507</v>
      </c>
      <c r="AI17" s="406" t="s">
        <v>34</v>
      </c>
      <c r="AJ17" s="513">
        <v>45931</v>
      </c>
      <c r="AK17" s="405" t="s">
        <v>514</v>
      </c>
      <c r="AL17" s="406" t="s">
        <v>34</v>
      </c>
      <c r="AM17" s="513">
        <v>45925</v>
      </c>
      <c r="AN17" s="405" t="s">
        <v>509</v>
      </c>
      <c r="AO17" s="407" t="s">
        <v>34</v>
      </c>
      <c r="AP17" s="513">
        <v>45840</v>
      </c>
      <c r="AQ17" s="493" t="s">
        <v>515</v>
      </c>
      <c r="AR17" s="279">
        <v>3</v>
      </c>
      <c r="AS17" s="263">
        <v>45904</v>
      </c>
      <c r="AT17" s="280">
        <v>500000</v>
      </c>
      <c r="AU17" s="279">
        <v>3</v>
      </c>
      <c r="AV17" s="263">
        <f>IF(AA17="","TBD",AA17+AU17)</f>
        <v>46093</v>
      </c>
      <c r="AW17" s="280">
        <v>3500000</v>
      </c>
      <c r="AX17" s="281">
        <f>SUM(AW17,AT17)</f>
        <v>4000000</v>
      </c>
    </row>
    <row r="18" spans="1:56" x14ac:dyDescent="0.3">
      <c r="A18" s="222">
        <v>2025</v>
      </c>
      <c r="B18" s="222" t="s">
        <v>35</v>
      </c>
      <c r="C18" s="282" t="s">
        <v>516</v>
      </c>
      <c r="D18" s="282" t="s">
        <v>71</v>
      </c>
      <c r="E18" s="282" t="s">
        <v>72</v>
      </c>
      <c r="F18" s="267" t="s">
        <v>458</v>
      </c>
      <c r="G18" s="283">
        <v>36000000</v>
      </c>
      <c r="H18" s="284">
        <v>0.26600000000000001</v>
      </c>
      <c r="I18" s="258" t="s">
        <v>503</v>
      </c>
      <c r="J18" s="285">
        <f>314+120</f>
        <v>434</v>
      </c>
      <c r="K18" s="286">
        <v>0.95</v>
      </c>
      <c r="L18" s="258" t="s">
        <v>32</v>
      </c>
      <c r="M18" s="250" t="s">
        <v>110</v>
      </c>
      <c r="N18" s="258" t="s">
        <v>35</v>
      </c>
      <c r="O18" s="258">
        <v>7.05</v>
      </c>
      <c r="P18" s="258">
        <v>2025</v>
      </c>
      <c r="Q18" s="263">
        <v>45890</v>
      </c>
      <c r="R18" s="263">
        <v>45898</v>
      </c>
      <c r="S18" s="282" t="s">
        <v>517</v>
      </c>
      <c r="T18" s="282"/>
      <c r="U18" s="263">
        <v>45902</v>
      </c>
      <c r="V18" s="258" t="s">
        <v>506</v>
      </c>
      <c r="W18" s="263">
        <v>46107</v>
      </c>
      <c r="X18" s="263">
        <f>W18</f>
        <v>46107</v>
      </c>
      <c r="Y18" s="258">
        <v>75</v>
      </c>
      <c r="Z18" s="258">
        <v>0</v>
      </c>
      <c r="AA18" s="263">
        <f>X18+Y18</f>
        <v>46182</v>
      </c>
      <c r="AB18" s="258">
        <v>30</v>
      </c>
      <c r="AC18" s="263">
        <f>AA18+AB18</f>
        <v>46212</v>
      </c>
      <c r="AD18" s="258">
        <f>IF(R18="","",$A$1-R18)</f>
        <v>220</v>
      </c>
      <c r="AE18" s="258" t="s">
        <v>518</v>
      </c>
      <c r="AF18" s="258"/>
      <c r="AG18" s="261"/>
      <c r="AH18" s="260" t="s">
        <v>518</v>
      </c>
      <c r="AI18" s="258"/>
      <c r="AJ18" s="261"/>
      <c r="AK18" s="260" t="s">
        <v>519</v>
      </c>
      <c r="AL18" s="258"/>
      <c r="AM18" s="261"/>
      <c r="AN18" s="260" t="s">
        <v>509</v>
      </c>
      <c r="AO18" s="258"/>
      <c r="AP18" s="278"/>
      <c r="AQ18" s="494" t="s">
        <v>900</v>
      </c>
      <c r="AR18" s="262">
        <v>3</v>
      </c>
      <c r="AS18" s="263">
        <f>IF(W18="","TBD",W18+AR18)</f>
        <v>46110</v>
      </c>
      <c r="AT18" s="280">
        <v>500000</v>
      </c>
      <c r="AU18" s="262">
        <v>3</v>
      </c>
      <c r="AV18" s="263">
        <f>IF(AA18="","TBD",AA18+AU18)</f>
        <v>46185</v>
      </c>
      <c r="AW18" s="288">
        <v>500000</v>
      </c>
      <c r="AX18" s="289">
        <f>SUM(AW18,AT18)</f>
        <v>1000000</v>
      </c>
      <c r="AY18" s="266"/>
      <c r="AZ18" s="266"/>
      <c r="BA18" s="266"/>
      <c r="BB18" s="266"/>
    </row>
    <row r="19" spans="1:56" ht="16.2" thickBot="1" x14ac:dyDescent="0.35">
      <c r="A19" s="222"/>
      <c r="B19" s="222"/>
      <c r="C19" s="247"/>
      <c r="D19" s="247"/>
      <c r="E19" s="247"/>
      <c r="F19" s="247"/>
      <c r="G19" s="248"/>
      <c r="H19" s="249"/>
      <c r="I19" s="250"/>
      <c r="J19" s="250"/>
      <c r="K19" s="252"/>
      <c r="L19" s="250"/>
      <c r="M19" s="250"/>
      <c r="N19" s="250"/>
      <c r="O19" s="253"/>
      <c r="P19" s="250"/>
      <c r="Q19" s="254"/>
      <c r="R19" s="254"/>
      <c r="S19" s="282"/>
      <c r="T19" s="282"/>
      <c r="U19" s="258"/>
      <c r="V19" s="258"/>
      <c r="W19" s="258"/>
      <c r="X19" s="258"/>
      <c r="Y19" s="258"/>
      <c r="Z19" s="258"/>
      <c r="AA19" s="257" t="str">
        <f>IF(X19="","",IF(Z19=OR(0,""),Y19+X19,X19+Y19+Z19))</f>
        <v/>
      </c>
      <c r="AB19" s="250"/>
      <c r="AC19" s="257" t="str">
        <f t="shared" ref="AC19" si="1">IF(AA19="","",AB19+AA19)</f>
        <v/>
      </c>
      <c r="AD19" s="258" t="str">
        <f>IF(R19="","",$A$1-R19)</f>
        <v/>
      </c>
      <c r="AE19" s="258"/>
      <c r="AF19" s="258"/>
      <c r="AG19" s="278"/>
      <c r="AH19" s="260"/>
      <c r="AI19" s="258"/>
      <c r="AJ19" s="278"/>
      <c r="AK19" s="260"/>
      <c r="AL19" s="258"/>
      <c r="AM19" s="278"/>
      <c r="AN19" s="260"/>
      <c r="AO19" s="258"/>
      <c r="AP19" s="278"/>
      <c r="AQ19" s="494"/>
      <c r="AR19" s="262"/>
      <c r="AS19" s="263"/>
      <c r="AT19" s="322"/>
      <c r="AU19" s="262"/>
      <c r="AV19" s="263"/>
      <c r="AW19" s="288"/>
      <c r="AX19" s="289"/>
    </row>
    <row r="20" spans="1:56" ht="16.2" thickTop="1" x14ac:dyDescent="0.3">
      <c r="A20" s="222"/>
      <c r="B20" s="222"/>
      <c r="C20" s="323" t="s">
        <v>520</v>
      </c>
      <c r="D20" s="324">
        <f>COUNTA(C16:C19)</f>
        <v>3</v>
      </c>
      <c r="E20" s="323"/>
      <c r="F20" s="323"/>
      <c r="G20" s="325">
        <f>SUM(G16:G19)</f>
        <v>148600000</v>
      </c>
      <c r="H20" s="326"/>
      <c r="I20" s="324"/>
      <c r="J20" s="327">
        <f>SUM(J16:J19)</f>
        <v>1031</v>
      </c>
      <c r="K20" s="328"/>
      <c r="L20" s="324">
        <f>COUNTIF(L16:L19,"Off-Market")</f>
        <v>1</v>
      </c>
      <c r="M20" s="324"/>
      <c r="N20" s="324"/>
      <c r="O20" s="329">
        <f>SUM(O16:O19)</f>
        <v>8.41</v>
      </c>
      <c r="P20" s="324"/>
      <c r="Q20" s="330"/>
      <c r="R20" s="330"/>
      <c r="S20" s="331"/>
      <c r="T20" s="331"/>
      <c r="U20" s="332"/>
      <c r="V20" s="332"/>
      <c r="W20" s="332"/>
      <c r="X20" s="332"/>
      <c r="Y20" s="332"/>
      <c r="Z20" s="332"/>
      <c r="AA20" s="333"/>
      <c r="AB20" s="332"/>
      <c r="AC20" s="333"/>
      <c r="AD20" s="334"/>
      <c r="AE20" s="332"/>
      <c r="AF20" s="332"/>
      <c r="AG20" s="335"/>
      <c r="AH20" s="336"/>
      <c r="AI20" s="332"/>
      <c r="AJ20" s="335"/>
      <c r="AK20" s="336"/>
      <c r="AL20" s="332"/>
      <c r="AM20" s="335"/>
      <c r="AN20" s="336"/>
      <c r="AO20" s="332"/>
      <c r="AP20" s="335"/>
      <c r="AQ20" s="495"/>
      <c r="AR20" s="337"/>
      <c r="AS20" s="333"/>
      <c r="AT20" s="338">
        <f>SUM(AT16:AT19)</f>
        <v>1250000</v>
      </c>
      <c r="AU20" s="337"/>
      <c r="AV20" s="333"/>
      <c r="AW20" s="339">
        <f>SUM(AW16:AW19)</f>
        <v>4350000</v>
      </c>
      <c r="AX20" s="340">
        <f>SUM(AX19:AX19)</f>
        <v>0</v>
      </c>
    </row>
    <row r="21" spans="1:56" ht="15.75" hidden="1" customHeight="1" outlineLevel="1" x14ac:dyDescent="0.3">
      <c r="A21" s="290">
        <f>COUNTIF(B16:B19,"&lt;&gt;")</f>
        <v>3</v>
      </c>
      <c r="B21" s="291" t="s">
        <v>521</v>
      </c>
      <c r="C21" s="499"/>
      <c r="D21" s="499"/>
      <c r="E21" s="499"/>
      <c r="F21" s="499"/>
      <c r="G21" s="499"/>
      <c r="H21" s="503"/>
      <c r="I21" s="499"/>
      <c r="J21" s="499"/>
      <c r="K21" s="504"/>
      <c r="L21" s="504" t="s">
        <v>85</v>
      </c>
      <c r="M21" s="499"/>
      <c r="N21" s="499"/>
      <c r="O21" s="499"/>
      <c r="P21" s="499"/>
      <c r="Q21" s="505"/>
      <c r="R21" s="505"/>
      <c r="S21" s="499"/>
      <c r="T21" s="499"/>
      <c r="U21" s="499"/>
      <c r="V21" s="499"/>
      <c r="W21" s="499"/>
      <c r="X21" s="499"/>
      <c r="Y21" s="499"/>
      <c r="Z21" s="499"/>
      <c r="AA21" s="505"/>
      <c r="AB21" s="499"/>
      <c r="AC21" s="505"/>
      <c r="AD21" s="506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  <c r="AO21" s="499"/>
      <c r="AP21" s="507"/>
      <c r="AQ21" s="205"/>
      <c r="AR21" s="294"/>
      <c r="AS21" s="206"/>
      <c r="AT21" s="218"/>
      <c r="AU21" s="294"/>
      <c r="AV21" s="206"/>
      <c r="AW21" s="295"/>
      <c r="AX21" s="295"/>
      <c r="AY21" s="266"/>
      <c r="AZ21" s="266"/>
      <c r="BA21" s="266"/>
      <c r="BB21" s="266"/>
      <c r="BC21" s="266"/>
      <c r="BD21" s="266"/>
    </row>
    <row r="22" spans="1:56" ht="15.75" hidden="1" customHeight="1" outlineLevel="1" x14ac:dyDescent="0.3">
      <c r="A22" s="222">
        <f>COUNTIF(A16:A19,"2023")</f>
        <v>0</v>
      </c>
      <c r="B22" s="296" t="s">
        <v>84</v>
      </c>
      <c r="C22" s="499"/>
      <c r="D22" s="499"/>
      <c r="E22" s="499"/>
      <c r="F22" s="499"/>
      <c r="G22" s="499"/>
      <c r="H22" s="503"/>
      <c r="I22" s="499"/>
      <c r="J22" s="499"/>
      <c r="K22" s="504"/>
      <c r="L22" s="504"/>
      <c r="M22" s="499"/>
      <c r="N22" s="499"/>
      <c r="O22" s="499"/>
      <c r="P22" s="499"/>
      <c r="Q22" s="505"/>
      <c r="R22" s="505"/>
      <c r="S22" s="499"/>
      <c r="T22" s="499"/>
      <c r="U22" s="499"/>
      <c r="V22" s="499"/>
      <c r="W22" s="499"/>
      <c r="X22" s="499"/>
      <c r="Y22" s="499"/>
      <c r="Z22" s="499"/>
      <c r="AA22" s="505"/>
      <c r="AB22" s="499"/>
      <c r="AC22" s="505"/>
      <c r="AD22" s="506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  <c r="AO22" s="499"/>
      <c r="AP22" s="507"/>
      <c r="AQ22" s="205"/>
      <c r="AR22" s="294"/>
      <c r="AS22" s="206"/>
      <c r="AT22" s="218"/>
      <c r="AU22" s="294"/>
      <c r="AV22" s="206"/>
      <c r="AW22" s="295"/>
      <c r="AX22" s="295"/>
      <c r="AY22" s="266"/>
      <c r="AZ22" s="266"/>
      <c r="BA22" s="266"/>
      <c r="BB22" s="266"/>
      <c r="BC22" s="266"/>
      <c r="BD22" s="266"/>
    </row>
    <row r="23" spans="1:56" s="266" customFormat="1" ht="15.75" hidden="1" customHeight="1" outlineLevel="1" x14ac:dyDescent="0.3">
      <c r="A23" s="222">
        <f>COUNTIF(A16:A19,"2024")</f>
        <v>0</v>
      </c>
      <c r="B23" s="296" t="s">
        <v>86</v>
      </c>
      <c r="C23" s="499"/>
      <c r="D23" s="499"/>
      <c r="E23" s="499"/>
      <c r="F23" s="499"/>
      <c r="G23" s="499"/>
      <c r="H23" s="503"/>
      <c r="I23" s="499"/>
      <c r="J23" s="499"/>
      <c r="K23" s="504"/>
      <c r="L23" s="499"/>
      <c r="M23" s="499"/>
      <c r="N23" s="499"/>
      <c r="O23" s="499"/>
      <c r="P23" s="499"/>
      <c r="Q23" s="505"/>
      <c r="R23" s="505"/>
      <c r="S23" s="499"/>
      <c r="T23" s="499"/>
      <c r="U23" s="499"/>
      <c r="V23" s="499"/>
      <c r="W23" s="499"/>
      <c r="X23" s="499"/>
      <c r="Y23" s="499"/>
      <c r="Z23" s="499"/>
      <c r="AA23" s="505"/>
      <c r="AB23" s="499"/>
      <c r="AC23" s="505"/>
      <c r="AD23" s="506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  <c r="AO23" s="499"/>
      <c r="AP23" s="507"/>
      <c r="AQ23" s="205"/>
      <c r="AR23" s="294"/>
      <c r="AS23" s="206"/>
      <c r="AT23" s="218"/>
      <c r="AU23" s="294"/>
      <c r="AV23" s="206"/>
      <c r="AW23" s="295"/>
      <c r="AX23" s="295"/>
    </row>
    <row r="24" spans="1:56" ht="15.75" hidden="1" customHeight="1" outlineLevel="1" x14ac:dyDescent="0.3">
      <c r="A24" s="222">
        <f>COUNTIF(A16:A19,"2025")</f>
        <v>3</v>
      </c>
      <c r="B24" s="296" t="s">
        <v>87</v>
      </c>
      <c r="C24" s="499"/>
      <c r="D24" s="499"/>
      <c r="E24" s="499"/>
      <c r="F24" s="499"/>
      <c r="G24" s="499"/>
      <c r="H24" s="503"/>
      <c r="I24" s="499"/>
      <c r="J24" s="499"/>
      <c r="K24" s="508"/>
      <c r="L24" s="509"/>
      <c r="M24" s="499"/>
      <c r="N24" s="499"/>
      <c r="O24" s="499"/>
      <c r="P24" s="499"/>
      <c r="Q24" s="505"/>
      <c r="R24" s="505"/>
      <c r="S24" s="499"/>
      <c r="T24" s="499"/>
      <c r="U24" s="499"/>
      <c r="V24" s="499"/>
      <c r="W24" s="499"/>
      <c r="X24" s="499"/>
      <c r="Y24" s="499"/>
      <c r="Z24" s="499"/>
      <c r="AA24" s="505"/>
      <c r="AB24" s="499"/>
      <c r="AC24" s="505"/>
      <c r="AD24" s="506"/>
      <c r="AE24" s="499"/>
      <c r="AF24" s="499"/>
      <c r="AG24" s="499"/>
      <c r="AH24" s="499"/>
      <c r="AI24" s="499"/>
      <c r="AJ24" s="499"/>
      <c r="AK24" s="499"/>
      <c r="AL24" s="499"/>
      <c r="AM24" s="499"/>
      <c r="AN24" s="499"/>
      <c r="AO24" s="499"/>
      <c r="AP24" s="507"/>
      <c r="AQ24" s="205"/>
      <c r="AR24" s="294"/>
      <c r="AS24" s="206"/>
      <c r="AT24" s="218"/>
      <c r="AU24" s="294"/>
      <c r="AV24" s="206"/>
      <c r="AW24" s="295"/>
      <c r="AX24" s="295"/>
      <c r="AY24" s="266"/>
      <c r="AZ24" s="266"/>
      <c r="BA24" s="266"/>
      <c r="BB24" s="266"/>
      <c r="BC24" s="266"/>
      <c r="BD24" s="266"/>
    </row>
    <row r="25" spans="1:56" ht="15.75" hidden="1" customHeight="1" outlineLevel="1" x14ac:dyDescent="0.3">
      <c r="A25" s="222">
        <f>COUNTIF(A16:A19,"2026")</f>
        <v>0</v>
      </c>
      <c r="B25" s="296" t="s">
        <v>522</v>
      </c>
      <c r="C25" s="499"/>
      <c r="D25" s="499"/>
      <c r="E25" s="499"/>
      <c r="F25" s="499"/>
      <c r="G25" s="499"/>
      <c r="H25" s="503"/>
      <c r="I25" s="499"/>
      <c r="J25" s="499"/>
      <c r="K25" s="508"/>
      <c r="L25" s="509"/>
      <c r="M25" s="499"/>
      <c r="N25" s="499"/>
      <c r="O25" s="499"/>
      <c r="P25" s="499"/>
      <c r="Q25" s="505"/>
      <c r="R25" s="505"/>
      <c r="S25" s="499"/>
      <c r="T25" s="499"/>
      <c r="U25" s="499"/>
      <c r="V25" s="499"/>
      <c r="W25" s="499"/>
      <c r="X25" s="499"/>
      <c r="Y25" s="499"/>
      <c r="Z25" s="499"/>
      <c r="AA25" s="505"/>
      <c r="AB25" s="499"/>
      <c r="AC25" s="505"/>
      <c r="AD25" s="506"/>
      <c r="AE25" s="499"/>
      <c r="AF25" s="499"/>
      <c r="AG25" s="499"/>
      <c r="AH25" s="499"/>
      <c r="AI25" s="499"/>
      <c r="AJ25" s="499"/>
      <c r="AK25" s="499"/>
      <c r="AL25" s="499"/>
      <c r="AM25" s="499"/>
      <c r="AN25" s="499"/>
      <c r="AO25" s="499"/>
      <c r="AP25" s="507"/>
      <c r="AQ25" s="205"/>
      <c r="AR25" s="294"/>
      <c r="AS25" s="206"/>
      <c r="AT25" s="218"/>
      <c r="AU25" s="294"/>
      <c r="AV25" s="206"/>
      <c r="AW25" s="295"/>
      <c r="AX25" s="295"/>
      <c r="AY25" s="266"/>
      <c r="AZ25" s="266"/>
      <c r="BA25" s="266"/>
      <c r="BB25" s="266"/>
      <c r="BC25" s="266"/>
      <c r="BD25" s="266"/>
    </row>
    <row r="26" spans="1:56" collapsed="1" x14ac:dyDescent="0.3">
      <c r="A26" s="222"/>
      <c r="B26" s="222"/>
      <c r="C26" s="509"/>
      <c r="D26" s="509"/>
      <c r="E26" s="509"/>
      <c r="F26" s="509"/>
      <c r="G26" s="510"/>
      <c r="H26" s="503"/>
      <c r="I26" s="499"/>
      <c r="J26" s="499"/>
      <c r="K26" s="499"/>
      <c r="L26" s="499"/>
      <c r="M26" s="499"/>
      <c r="N26" s="499"/>
      <c r="O26" s="511"/>
      <c r="P26" s="499"/>
      <c r="Q26" s="505"/>
      <c r="R26" s="505"/>
      <c r="S26" s="509"/>
      <c r="T26" s="509"/>
      <c r="U26" s="499"/>
      <c r="V26" s="499"/>
      <c r="W26" s="499"/>
      <c r="X26" s="499"/>
      <c r="Y26" s="499"/>
      <c r="Z26" s="499"/>
      <c r="AA26" s="505"/>
      <c r="AB26" s="499"/>
      <c r="AC26" s="505"/>
      <c r="AD26" s="506"/>
      <c r="AE26" s="499"/>
      <c r="AF26" s="499"/>
      <c r="AG26" s="499"/>
      <c r="AH26" s="499"/>
      <c r="AI26" s="499"/>
      <c r="AJ26" s="499"/>
      <c r="AK26" s="499"/>
      <c r="AL26" s="499"/>
      <c r="AM26" s="499"/>
      <c r="AN26" s="499"/>
      <c r="AO26" s="499"/>
      <c r="AP26" s="507"/>
      <c r="AQ26" s="205"/>
      <c r="AR26" s="294"/>
      <c r="AS26" s="206"/>
      <c r="AT26" s="218"/>
      <c r="AU26" s="294"/>
      <c r="AV26" s="206"/>
      <c r="AW26" s="295"/>
      <c r="AX26" s="295"/>
      <c r="AY26" s="266"/>
      <c r="AZ26" s="266"/>
    </row>
    <row r="27" spans="1:56" x14ac:dyDescent="0.3">
      <c r="A27" s="222"/>
      <c r="B27" s="222"/>
      <c r="C27" s="232" t="s">
        <v>460</v>
      </c>
      <c r="D27" s="233"/>
      <c r="E27" s="233"/>
      <c r="F27" s="233"/>
      <c r="G27" s="234"/>
      <c r="H27" s="299"/>
      <c r="I27" s="234"/>
      <c r="J27" s="234"/>
      <c r="K27" s="234"/>
      <c r="L27" s="234"/>
      <c r="M27" s="234"/>
      <c r="N27" s="234"/>
      <c r="O27" s="234"/>
      <c r="P27" s="234"/>
      <c r="Q27" s="236"/>
      <c r="R27" s="236"/>
      <c r="S27" s="233"/>
      <c r="T27" s="233"/>
      <c r="U27" s="234" t="s">
        <v>483</v>
      </c>
      <c r="V27" s="234" t="s">
        <v>484</v>
      </c>
      <c r="W27" s="234" t="s">
        <v>485</v>
      </c>
      <c r="X27" s="234" t="s">
        <v>486</v>
      </c>
      <c r="Y27" s="234" t="s">
        <v>487</v>
      </c>
      <c r="Z27" s="234" t="s">
        <v>488</v>
      </c>
      <c r="AA27" s="236" t="s">
        <v>489</v>
      </c>
      <c r="AB27" s="234" t="s">
        <v>490</v>
      </c>
      <c r="AC27" s="236" t="s">
        <v>491</v>
      </c>
      <c r="AD27" s="236" t="s">
        <v>492</v>
      </c>
      <c r="AE27" s="234"/>
      <c r="AF27" s="234"/>
      <c r="AG27" s="300"/>
      <c r="AH27" s="301"/>
      <c r="AI27" s="234"/>
      <c r="AJ27" s="300"/>
      <c r="AK27" s="301"/>
      <c r="AL27" s="234"/>
      <c r="AM27" s="300"/>
      <c r="AN27" s="301"/>
      <c r="AO27" s="234"/>
      <c r="AP27" s="300"/>
      <c r="AQ27" s="492" t="s">
        <v>479</v>
      </c>
      <c r="AR27" s="302" t="s">
        <v>499</v>
      </c>
      <c r="AS27" s="234" t="s">
        <v>500</v>
      </c>
      <c r="AT27" s="242" t="s">
        <v>501</v>
      </c>
      <c r="AU27" s="302" t="s">
        <v>502</v>
      </c>
      <c r="AV27" s="234" t="s">
        <v>500</v>
      </c>
      <c r="AW27" s="303" t="s">
        <v>501</v>
      </c>
      <c r="AX27" s="304" t="s">
        <v>501</v>
      </c>
    </row>
    <row r="28" spans="1:56" s="266" customFormat="1" x14ac:dyDescent="0.3">
      <c r="A28" s="222">
        <v>2025</v>
      </c>
      <c r="B28" s="222" t="s">
        <v>35</v>
      </c>
      <c r="C28" s="247" t="s">
        <v>105</v>
      </c>
      <c r="D28" s="247" t="s">
        <v>106</v>
      </c>
      <c r="E28" s="247" t="s">
        <v>75</v>
      </c>
      <c r="F28" s="247" t="s">
        <v>523</v>
      </c>
      <c r="G28" s="248">
        <v>19400000</v>
      </c>
      <c r="H28" s="249">
        <v>0.245</v>
      </c>
      <c r="I28" s="250" t="s">
        <v>503</v>
      </c>
      <c r="J28" s="251">
        <f>287</f>
        <v>287</v>
      </c>
      <c r="K28" s="252">
        <v>0.95</v>
      </c>
      <c r="L28" s="250" t="s">
        <v>48</v>
      </c>
      <c r="M28" s="250" t="s">
        <v>100</v>
      </c>
      <c r="N28" s="211" t="str">
        <f>IF(L28="Broker","","Yes")</f>
        <v>Yes</v>
      </c>
      <c r="O28" s="253">
        <v>13.387</v>
      </c>
      <c r="P28" s="250">
        <v>2025</v>
      </c>
      <c r="Q28" s="254">
        <v>45889</v>
      </c>
      <c r="R28" s="254">
        <v>45951</v>
      </c>
      <c r="S28" s="247" t="s">
        <v>524</v>
      </c>
      <c r="T28" s="247"/>
      <c r="U28" s="254">
        <v>45951</v>
      </c>
      <c r="V28" s="254" t="s">
        <v>506</v>
      </c>
      <c r="W28" s="250"/>
      <c r="X28" s="250"/>
      <c r="Y28" s="250">
        <v>60</v>
      </c>
      <c r="Z28" s="250">
        <v>0</v>
      </c>
      <c r="AA28" s="256" t="str">
        <f>IF(X28="","",IF(Z28=OR(0,""),Y28+X28,X28+Y28+Z28))</f>
        <v/>
      </c>
      <c r="AB28" s="250">
        <v>30</v>
      </c>
      <c r="AC28" s="257" t="str">
        <f>IF(AA28="","",AB28+AA28)</f>
        <v/>
      </c>
      <c r="AD28" s="258">
        <f>IF(R28="","",$A$1-R28)</f>
        <v>167</v>
      </c>
      <c r="AE28" s="258"/>
      <c r="AF28" s="258"/>
      <c r="AG28" s="278"/>
      <c r="AH28" s="260"/>
      <c r="AI28" s="258"/>
      <c r="AJ28" s="278"/>
      <c r="AK28" s="260"/>
      <c r="AL28" s="258"/>
      <c r="AM28" s="278"/>
      <c r="AN28" s="260"/>
      <c r="AO28" s="258"/>
      <c r="AP28" s="278"/>
      <c r="AQ28" s="493" t="s">
        <v>510</v>
      </c>
      <c r="AR28" s="279" t="s">
        <v>42</v>
      </c>
      <c r="AS28" s="263" t="str">
        <f>IF(W28="","TBD",W28+AR28)</f>
        <v>TBD</v>
      </c>
      <c r="AT28" s="305">
        <v>300000</v>
      </c>
      <c r="AU28" s="279" t="s">
        <v>42</v>
      </c>
      <c r="AV28" s="263" t="str">
        <f>IF(AA28="","TBD",AA28+AU28)</f>
        <v>TBD</v>
      </c>
      <c r="AW28" s="306">
        <v>300000</v>
      </c>
      <c r="AX28" s="289">
        <f>SUM(AW28,AT28)</f>
        <v>600000</v>
      </c>
    </row>
    <row r="29" spans="1:56" x14ac:dyDescent="0.3">
      <c r="A29" s="222">
        <v>2026</v>
      </c>
      <c r="B29" s="222" t="s">
        <v>35</v>
      </c>
      <c r="C29" s="307" t="s">
        <v>161</v>
      </c>
      <c r="D29" s="308" t="s">
        <v>525</v>
      </c>
      <c r="E29" s="309" t="s">
        <v>163</v>
      </c>
      <c r="F29" s="282" t="s">
        <v>460</v>
      </c>
      <c r="G29" s="310">
        <v>110000000</v>
      </c>
      <c r="H29" s="311">
        <v>0.19400000000000001</v>
      </c>
      <c r="I29" s="312" t="s">
        <v>503</v>
      </c>
      <c r="J29" s="313">
        <v>90</v>
      </c>
      <c r="K29" s="252" t="s">
        <v>42</v>
      </c>
      <c r="L29" s="314" t="s">
        <v>32</v>
      </c>
      <c r="M29" s="250" t="s">
        <v>110</v>
      </c>
      <c r="N29" s="315" t="str">
        <f>IF(L29="Broker","","Yes")</f>
        <v/>
      </c>
      <c r="O29" s="260" t="str">
        <f>IFERROR(IF(AND(AND(M29&lt;&gt;"Market",M29&lt;&gt;"TBD"),N29&lt;&gt;"TBD"),N29/M29,""),"")</f>
        <v/>
      </c>
      <c r="P29" s="316">
        <v>2026</v>
      </c>
      <c r="Q29" s="317">
        <v>46108</v>
      </c>
      <c r="R29" s="317">
        <v>46109</v>
      </c>
      <c r="S29" s="318" t="s">
        <v>526</v>
      </c>
      <c r="T29" s="319"/>
      <c r="U29" s="255">
        <v>46111</v>
      </c>
      <c r="V29" s="211" t="s">
        <v>513</v>
      </c>
      <c r="W29" s="211"/>
      <c r="X29" s="255">
        <f>R29+10</f>
        <v>46119</v>
      </c>
      <c r="Y29" s="211">
        <v>30</v>
      </c>
      <c r="Z29" s="211">
        <v>0</v>
      </c>
      <c r="AA29" s="255">
        <f>X29+Y29</f>
        <v>46149</v>
      </c>
      <c r="AB29" s="211">
        <v>30</v>
      </c>
      <c r="AC29" s="255">
        <f>AA29+AB29</f>
        <v>46179</v>
      </c>
      <c r="AD29" s="258">
        <f>IF(R29="","",$A$1-R29)</f>
        <v>9</v>
      </c>
      <c r="AE29" s="258"/>
      <c r="AF29" s="258"/>
      <c r="AG29" s="259"/>
      <c r="AH29" s="260"/>
      <c r="AI29" s="258"/>
      <c r="AJ29" s="261"/>
      <c r="AK29" s="260"/>
      <c r="AL29" s="258"/>
      <c r="AM29" s="261"/>
      <c r="AN29" s="260"/>
      <c r="AO29" s="258"/>
      <c r="AP29" s="278"/>
      <c r="AQ29" s="502" t="s">
        <v>900</v>
      </c>
      <c r="AR29" s="320">
        <v>3</v>
      </c>
      <c r="AS29" s="263" t="str">
        <f>IF(W29="","TBD",W29+AR29)</f>
        <v>TBD</v>
      </c>
      <c r="AT29" s="321">
        <v>2000000</v>
      </c>
      <c r="AU29" s="320">
        <v>3</v>
      </c>
      <c r="AV29" s="263">
        <f>IF(AA29="","TBD",AA29+AU29)</f>
        <v>46152</v>
      </c>
      <c r="AW29" s="321">
        <v>2000000</v>
      </c>
      <c r="AX29" s="289">
        <f>SUM(AW29,AT29)</f>
        <v>4000000</v>
      </c>
      <c r="AY29" s="266"/>
      <c r="AZ29" s="266"/>
      <c r="BA29" s="266"/>
      <c r="BB29" s="266"/>
      <c r="BC29" s="266"/>
    </row>
    <row r="30" spans="1:56" ht="16.2" thickBot="1" x14ac:dyDescent="0.35">
      <c r="A30" s="222"/>
      <c r="B30" s="222"/>
      <c r="C30" s="247"/>
      <c r="D30" s="247"/>
      <c r="E30" s="247"/>
      <c r="F30" s="247"/>
      <c r="G30" s="248"/>
      <c r="H30" s="249"/>
      <c r="I30" s="250"/>
      <c r="J30" s="250"/>
      <c r="K30" s="252"/>
      <c r="L30" s="250"/>
      <c r="M30" s="250"/>
      <c r="N30" s="250"/>
      <c r="O30" s="253"/>
      <c r="P30" s="250"/>
      <c r="Q30" s="254"/>
      <c r="R30" s="254"/>
      <c r="S30" s="282"/>
      <c r="T30" s="282"/>
      <c r="U30" s="258"/>
      <c r="V30" s="258"/>
      <c r="W30" s="258"/>
      <c r="X30" s="258"/>
      <c r="Y30" s="258"/>
      <c r="Z30" s="258"/>
      <c r="AA30" s="256" t="str">
        <f t="shared" ref="AA30" si="2">IF(X30="","",IF(Z30=OR(0,""),Y30+X30,X30+Y30+Z30))</f>
        <v/>
      </c>
      <c r="AB30" s="258"/>
      <c r="AC30" s="256" t="str">
        <f t="shared" ref="AC30" si="3">IF(AA30="","",AB30+AA30)</f>
        <v/>
      </c>
      <c r="AD30" s="258" t="str">
        <f>IF(R30="","",$A$1-R30)</f>
        <v/>
      </c>
      <c r="AE30" s="258"/>
      <c r="AF30" s="258"/>
      <c r="AG30" s="278"/>
      <c r="AH30" s="260"/>
      <c r="AI30" s="258"/>
      <c r="AJ30" s="278"/>
      <c r="AK30" s="260"/>
      <c r="AL30" s="258"/>
      <c r="AM30" s="278"/>
      <c r="AN30" s="260"/>
      <c r="AO30" s="258"/>
      <c r="AP30" s="278"/>
      <c r="AQ30" s="494"/>
      <c r="AR30" s="262"/>
      <c r="AS30" s="263"/>
      <c r="AT30" s="322"/>
      <c r="AU30" s="262"/>
      <c r="AV30" s="263"/>
      <c r="AW30" s="288"/>
      <c r="AX30" s="289"/>
    </row>
    <row r="31" spans="1:56" ht="16.2" thickTop="1" x14ac:dyDescent="0.3">
      <c r="A31" s="222"/>
      <c r="B31" s="222"/>
      <c r="C31" s="323" t="s">
        <v>527</v>
      </c>
      <c r="D31" s="324">
        <f>COUNTA(C28:C30)</f>
        <v>2</v>
      </c>
      <c r="E31" s="323"/>
      <c r="F31" s="323"/>
      <c r="G31" s="325">
        <f>SUM(G28:G30)</f>
        <v>129400000</v>
      </c>
      <c r="H31" s="326"/>
      <c r="I31" s="324"/>
      <c r="J31" s="327">
        <f>SUM(J28:J30)</f>
        <v>377</v>
      </c>
      <c r="K31" s="328"/>
      <c r="L31" s="324">
        <f>COUNTIF(L18:L30,"Off-Market")</f>
        <v>1</v>
      </c>
      <c r="M31" s="324"/>
      <c r="N31" s="324"/>
      <c r="O31" s="329">
        <f>SUM(O28:O30)</f>
        <v>13.387</v>
      </c>
      <c r="P31" s="324"/>
      <c r="Q31" s="330"/>
      <c r="R31" s="330"/>
      <c r="S31" s="331"/>
      <c r="T31" s="331"/>
      <c r="U31" s="332"/>
      <c r="V31" s="332"/>
      <c r="W31" s="332"/>
      <c r="X31" s="332"/>
      <c r="Y31" s="332"/>
      <c r="Z31" s="332"/>
      <c r="AA31" s="333"/>
      <c r="AB31" s="332"/>
      <c r="AC31" s="333"/>
      <c r="AD31" s="334"/>
      <c r="AE31" s="332"/>
      <c r="AF31" s="332"/>
      <c r="AG31" s="335"/>
      <c r="AH31" s="336"/>
      <c r="AI31" s="332"/>
      <c r="AJ31" s="335"/>
      <c r="AK31" s="336"/>
      <c r="AL31" s="332"/>
      <c r="AM31" s="335"/>
      <c r="AN31" s="336"/>
      <c r="AO31" s="332"/>
      <c r="AP31" s="335"/>
      <c r="AQ31" s="495"/>
      <c r="AR31" s="337"/>
      <c r="AS31" s="333"/>
      <c r="AT31" s="338">
        <f>SUM(AT18:AT30)</f>
        <v>4050000</v>
      </c>
      <c r="AU31" s="337"/>
      <c r="AV31" s="333"/>
      <c r="AW31" s="339">
        <f>SUM(AW18:AW30)</f>
        <v>7150000</v>
      </c>
      <c r="AX31" s="340">
        <f>SUM(AX18:AX30)</f>
        <v>5600000</v>
      </c>
    </row>
    <row r="32" spans="1:56" ht="15.75" hidden="1" customHeight="1" outlineLevel="1" x14ac:dyDescent="0.3">
      <c r="A32" s="290">
        <f>COUNTIF(B18:B30,"&lt;&gt;")</f>
        <v>8</v>
      </c>
      <c r="B32" s="291" t="s">
        <v>521</v>
      </c>
      <c r="C32" s="205"/>
      <c r="D32" s="205"/>
      <c r="E32" s="205"/>
      <c r="F32" s="205"/>
      <c r="G32" s="205"/>
      <c r="H32" s="292"/>
      <c r="I32" s="205"/>
      <c r="J32" s="205"/>
      <c r="K32" s="293"/>
      <c r="L32" s="293" t="s">
        <v>85</v>
      </c>
      <c r="M32" s="205"/>
      <c r="N32" s="205"/>
      <c r="O32" s="205"/>
      <c r="P32" s="205"/>
      <c r="Q32" s="206"/>
      <c r="R32" s="206"/>
      <c r="S32" s="205"/>
      <c r="T32" s="205"/>
      <c r="U32" s="205"/>
      <c r="V32" s="205"/>
      <c r="W32" s="205"/>
      <c r="X32" s="205"/>
      <c r="Y32" s="205"/>
      <c r="Z32" s="205"/>
      <c r="AA32" s="206"/>
      <c r="AB32" s="205"/>
      <c r="AC32" s="206"/>
      <c r="AD32" s="218"/>
      <c r="AE32" s="205"/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05"/>
      <c r="AQ32" s="205"/>
      <c r="AR32" s="294"/>
      <c r="AS32" s="206"/>
      <c r="AT32" s="218"/>
      <c r="AU32" s="294"/>
      <c r="AV32" s="206"/>
      <c r="AW32" s="295"/>
      <c r="AX32" s="295"/>
      <c r="AY32" s="266"/>
      <c r="AZ32" s="266"/>
      <c r="BA32" s="266"/>
      <c r="BB32" s="266"/>
      <c r="BC32" s="266"/>
      <c r="BD32" s="266"/>
    </row>
    <row r="33" spans="1:56" ht="15.75" hidden="1" customHeight="1" outlineLevel="1" x14ac:dyDescent="0.3">
      <c r="A33" s="222">
        <f>COUNTIF(A18:A30,"2023")</f>
        <v>0</v>
      </c>
      <c r="B33" s="296" t="s">
        <v>84</v>
      </c>
      <c r="C33" s="205"/>
      <c r="D33" s="205"/>
      <c r="E33" s="205"/>
      <c r="F33" s="205"/>
      <c r="G33" s="205"/>
      <c r="H33" s="292"/>
      <c r="I33" s="205"/>
      <c r="J33" s="205"/>
      <c r="K33" s="293"/>
      <c r="L33" s="293"/>
      <c r="M33" s="205"/>
      <c r="N33" s="205"/>
      <c r="O33" s="205"/>
      <c r="P33" s="205"/>
      <c r="Q33" s="206"/>
      <c r="R33" s="206"/>
      <c r="S33" s="205"/>
      <c r="T33" s="205"/>
      <c r="U33" s="205"/>
      <c r="V33" s="205"/>
      <c r="W33" s="205"/>
      <c r="X33" s="205"/>
      <c r="Y33" s="205"/>
      <c r="Z33" s="205"/>
      <c r="AA33" s="206"/>
      <c r="AB33" s="205"/>
      <c r="AC33" s="206"/>
      <c r="AD33" s="218"/>
      <c r="AE33" s="205"/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05"/>
      <c r="AQ33" s="205"/>
      <c r="AR33" s="294"/>
      <c r="AS33" s="206"/>
      <c r="AT33" s="218"/>
      <c r="AU33" s="294"/>
      <c r="AV33" s="206"/>
      <c r="AW33" s="295"/>
      <c r="AX33" s="295"/>
      <c r="AY33" s="266"/>
      <c r="AZ33" s="266"/>
      <c r="BA33" s="266"/>
      <c r="BB33" s="266"/>
      <c r="BC33" s="266"/>
      <c r="BD33" s="266"/>
    </row>
    <row r="34" spans="1:56" s="266" customFormat="1" ht="15.75" hidden="1" customHeight="1" outlineLevel="1" x14ac:dyDescent="0.3">
      <c r="A34" s="222">
        <f>COUNTIF(A18:A30,"2024")</f>
        <v>0</v>
      </c>
      <c r="B34" s="296" t="s">
        <v>86</v>
      </c>
      <c r="C34" s="205"/>
      <c r="D34" s="205"/>
      <c r="E34" s="205"/>
      <c r="F34" s="205"/>
      <c r="G34" s="205"/>
      <c r="H34" s="292"/>
      <c r="I34" s="205"/>
      <c r="J34" s="205"/>
      <c r="K34" s="293"/>
      <c r="L34" s="205"/>
      <c r="M34" s="205"/>
      <c r="N34" s="205"/>
      <c r="O34" s="205"/>
      <c r="P34" s="205"/>
      <c r="Q34" s="206"/>
      <c r="R34" s="206"/>
      <c r="S34" s="205"/>
      <c r="T34" s="205"/>
      <c r="U34" s="205"/>
      <c r="V34" s="205"/>
      <c r="W34" s="205"/>
      <c r="X34" s="205"/>
      <c r="Y34" s="205"/>
      <c r="Z34" s="205"/>
      <c r="AA34" s="206"/>
      <c r="AB34" s="205"/>
      <c r="AC34" s="206"/>
      <c r="AD34" s="218"/>
      <c r="AE34" s="205"/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05"/>
      <c r="AQ34" s="205"/>
      <c r="AR34" s="294"/>
      <c r="AS34" s="206"/>
      <c r="AT34" s="218"/>
      <c r="AU34" s="294"/>
      <c r="AV34" s="206"/>
      <c r="AW34" s="295"/>
      <c r="AX34" s="295"/>
    </row>
    <row r="35" spans="1:56" ht="15.75" hidden="1" customHeight="1" outlineLevel="1" x14ac:dyDescent="0.3">
      <c r="A35" s="222">
        <f>COUNTIF(A18:A30,"2025")</f>
        <v>2</v>
      </c>
      <c r="B35" s="296" t="s">
        <v>87</v>
      </c>
      <c r="C35" s="205"/>
      <c r="D35" s="205"/>
      <c r="E35" s="205"/>
      <c r="F35" s="205"/>
      <c r="G35" s="205"/>
      <c r="H35" s="292"/>
      <c r="I35" s="205"/>
      <c r="J35" s="205"/>
      <c r="K35" s="297"/>
      <c r="L35" s="266"/>
      <c r="M35" s="205"/>
      <c r="N35" s="205"/>
      <c r="O35" s="205"/>
      <c r="P35" s="205"/>
      <c r="Q35" s="206"/>
      <c r="R35" s="206"/>
      <c r="S35" s="205"/>
      <c r="T35" s="205"/>
      <c r="U35" s="205"/>
      <c r="V35" s="205"/>
      <c r="W35" s="205"/>
      <c r="X35" s="205"/>
      <c r="Y35" s="205"/>
      <c r="Z35" s="205"/>
      <c r="AA35" s="206"/>
      <c r="AB35" s="205"/>
      <c r="AC35" s="206"/>
      <c r="AD35" s="218"/>
      <c r="AE35" s="205"/>
      <c r="AF35" s="205"/>
      <c r="AG35" s="205"/>
      <c r="AH35" s="205"/>
      <c r="AI35" s="205"/>
      <c r="AJ35" s="205"/>
      <c r="AK35" s="205"/>
      <c r="AL35" s="205"/>
      <c r="AM35" s="205"/>
      <c r="AN35" s="205"/>
      <c r="AO35" s="205"/>
      <c r="AP35" s="205"/>
      <c r="AQ35" s="205"/>
      <c r="AR35" s="294"/>
      <c r="AS35" s="206"/>
      <c r="AT35" s="218"/>
      <c r="AU35" s="294"/>
      <c r="AV35" s="206"/>
      <c r="AW35" s="295"/>
      <c r="AX35" s="295"/>
      <c r="AY35" s="266"/>
      <c r="AZ35" s="266"/>
      <c r="BA35" s="266"/>
      <c r="BB35" s="266"/>
      <c r="BC35" s="266"/>
      <c r="BD35" s="266"/>
    </row>
    <row r="36" spans="1:56" ht="15.75" hidden="1" customHeight="1" outlineLevel="1" x14ac:dyDescent="0.3">
      <c r="A36" s="222">
        <f>COUNTIF(A18:A30,"2026")</f>
        <v>1</v>
      </c>
      <c r="B36" s="296" t="s">
        <v>522</v>
      </c>
      <c r="C36" s="205"/>
      <c r="D36" s="205"/>
      <c r="E36" s="205"/>
      <c r="F36" s="205"/>
      <c r="G36" s="205"/>
      <c r="H36" s="292"/>
      <c r="I36" s="205"/>
      <c r="J36" s="205"/>
      <c r="K36" s="297"/>
      <c r="L36" s="266"/>
      <c r="M36" s="205"/>
      <c r="N36" s="205"/>
      <c r="O36" s="205"/>
      <c r="P36" s="205"/>
      <c r="Q36" s="206"/>
      <c r="R36" s="206"/>
      <c r="S36" s="205"/>
      <c r="T36" s="205"/>
      <c r="U36" s="205"/>
      <c r="V36" s="205"/>
      <c r="W36" s="205"/>
      <c r="X36" s="205"/>
      <c r="Y36" s="205"/>
      <c r="Z36" s="205"/>
      <c r="AA36" s="206"/>
      <c r="AB36" s="205"/>
      <c r="AC36" s="206"/>
      <c r="AD36" s="218"/>
      <c r="AE36" s="205"/>
      <c r="AF36" s="205"/>
      <c r="AG36" s="205"/>
      <c r="AH36" s="205"/>
      <c r="AI36" s="205"/>
      <c r="AJ36" s="205"/>
      <c r="AK36" s="205"/>
      <c r="AL36" s="205"/>
      <c r="AM36" s="205"/>
      <c r="AN36" s="205"/>
      <c r="AO36" s="205"/>
      <c r="AP36" s="205"/>
      <c r="AQ36" s="205"/>
      <c r="AR36" s="294"/>
      <c r="AS36" s="206"/>
      <c r="AT36" s="218"/>
      <c r="AU36" s="294"/>
      <c r="AV36" s="206"/>
      <c r="AW36" s="295"/>
      <c r="AX36" s="295"/>
      <c r="AY36" s="266"/>
      <c r="AZ36" s="266"/>
      <c r="BA36" s="266"/>
      <c r="BB36" s="266"/>
      <c r="BC36" s="266"/>
      <c r="BD36" s="266"/>
    </row>
    <row r="37" spans="1:56" collapsed="1" x14ac:dyDescent="0.3">
      <c r="A37" s="222"/>
      <c r="B37" s="222"/>
      <c r="C37" s="266"/>
      <c r="D37" s="266"/>
      <c r="E37" s="266"/>
      <c r="F37" s="266"/>
      <c r="G37" s="205"/>
      <c r="H37" s="292"/>
      <c r="I37" s="205"/>
      <c r="J37" s="205"/>
      <c r="K37" s="205"/>
      <c r="L37" s="205"/>
      <c r="M37" s="205"/>
      <c r="N37" s="205"/>
      <c r="O37" s="298"/>
      <c r="P37" s="205"/>
      <c r="Q37" s="206"/>
      <c r="R37" s="206"/>
      <c r="S37" s="194"/>
      <c r="T37" s="194"/>
      <c r="AR37" s="344"/>
      <c r="AU37" s="344"/>
      <c r="AW37" s="345"/>
      <c r="AX37" s="345"/>
    </row>
    <row r="38" spans="1:56" x14ac:dyDescent="0.3">
      <c r="A38" s="222"/>
      <c r="B38" s="222"/>
      <c r="C38" s="232" t="s">
        <v>461</v>
      </c>
      <c r="D38" s="233"/>
      <c r="E38" s="233"/>
      <c r="F38" s="233"/>
      <c r="G38" s="234"/>
      <c r="H38" s="299"/>
      <c r="I38" s="234"/>
      <c r="J38" s="234"/>
      <c r="K38" s="234"/>
      <c r="L38" s="234"/>
      <c r="M38" s="234"/>
      <c r="N38" s="234"/>
      <c r="O38" s="346"/>
      <c r="P38" s="234"/>
      <c r="Q38" s="236"/>
      <c r="R38" s="236"/>
      <c r="S38" s="233"/>
      <c r="T38" s="233"/>
      <c r="U38" s="234"/>
      <c r="V38" s="234"/>
      <c r="W38" s="234"/>
      <c r="X38" s="234"/>
      <c r="Y38" s="234"/>
      <c r="Z38" s="234"/>
      <c r="AA38" s="236"/>
      <c r="AB38" s="234"/>
      <c r="AC38" s="236"/>
      <c r="AD38" s="347" t="s">
        <v>492</v>
      </c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42"/>
      <c r="AR38" s="302"/>
      <c r="AS38" s="236"/>
      <c r="AT38" s="348"/>
      <c r="AU38" s="302"/>
      <c r="AV38" s="236"/>
      <c r="AW38" s="349"/>
      <c r="AX38" s="350"/>
    </row>
    <row r="39" spans="1:56" x14ac:dyDescent="0.3">
      <c r="A39" s="222">
        <v>2025</v>
      </c>
      <c r="B39" s="222" t="s">
        <v>35</v>
      </c>
      <c r="C39" s="282" t="s">
        <v>528</v>
      </c>
      <c r="D39" s="282" t="s">
        <v>529</v>
      </c>
      <c r="E39" s="282" t="s">
        <v>31</v>
      </c>
      <c r="F39" s="351" t="s">
        <v>530</v>
      </c>
      <c r="G39" s="283">
        <v>13000000</v>
      </c>
      <c r="H39" s="284" t="s">
        <v>42</v>
      </c>
      <c r="I39" s="258" t="s">
        <v>531</v>
      </c>
      <c r="J39" s="352">
        <v>460</v>
      </c>
      <c r="K39" s="286">
        <v>0.6</v>
      </c>
      <c r="L39" s="258" t="s">
        <v>48</v>
      </c>
      <c r="M39" s="250" t="s">
        <v>110</v>
      </c>
      <c r="N39" s="258" t="s">
        <v>35</v>
      </c>
      <c r="O39" s="258"/>
      <c r="P39" s="258">
        <v>2026</v>
      </c>
      <c r="Q39" s="263">
        <v>46037</v>
      </c>
      <c r="R39" s="263"/>
      <c r="S39" s="282"/>
      <c r="T39" s="282"/>
      <c r="U39" s="258"/>
      <c r="V39" s="258"/>
      <c r="W39" s="258"/>
      <c r="X39" s="258"/>
      <c r="Y39" s="258"/>
      <c r="Z39" s="258"/>
      <c r="AA39" s="263"/>
      <c r="AB39" s="258"/>
      <c r="AC39" s="263"/>
      <c r="AD39" s="353"/>
      <c r="AE39" s="258"/>
      <c r="AF39" s="258"/>
      <c r="AG39" s="258"/>
      <c r="AH39" s="258"/>
      <c r="AI39" s="258"/>
      <c r="AJ39" s="258"/>
      <c r="AK39" s="258"/>
      <c r="AL39" s="258"/>
      <c r="AM39" s="258"/>
      <c r="AN39" s="258"/>
      <c r="AO39" s="258"/>
      <c r="AP39" s="258"/>
      <c r="AQ39" s="258"/>
      <c r="AR39" s="258"/>
      <c r="AS39" s="263"/>
      <c r="AT39" s="353"/>
      <c r="AU39" s="258"/>
      <c r="AV39" s="263"/>
      <c r="AW39" s="353"/>
      <c r="AX39" s="353"/>
      <c r="AY39" s="266"/>
      <c r="AZ39" s="266"/>
      <c r="BA39" s="266"/>
      <c r="BB39" s="266"/>
      <c r="BC39" s="266"/>
    </row>
    <row r="40" spans="1:56" x14ac:dyDescent="0.3">
      <c r="A40" s="222">
        <v>2025</v>
      </c>
      <c r="B40" s="222" t="s">
        <v>35</v>
      </c>
      <c r="C40" s="282" t="s">
        <v>532</v>
      </c>
      <c r="D40" s="282" t="s">
        <v>529</v>
      </c>
      <c r="E40" s="282" t="s">
        <v>31</v>
      </c>
      <c r="F40" s="351" t="s">
        <v>530</v>
      </c>
      <c r="G40" s="283">
        <v>19000000</v>
      </c>
      <c r="H40" s="284">
        <v>0.224</v>
      </c>
      <c r="I40" s="258" t="s">
        <v>503</v>
      </c>
      <c r="J40" s="352">
        <v>404</v>
      </c>
      <c r="K40" s="286">
        <v>0.65</v>
      </c>
      <c r="L40" s="258" t="s">
        <v>48</v>
      </c>
      <c r="M40" s="250" t="s">
        <v>110</v>
      </c>
      <c r="N40" s="258" t="s">
        <v>35</v>
      </c>
      <c r="O40" s="258"/>
      <c r="P40" s="258">
        <v>2026</v>
      </c>
      <c r="Q40" s="263">
        <v>46036</v>
      </c>
      <c r="R40" s="263"/>
      <c r="S40" s="282"/>
      <c r="T40" s="282"/>
      <c r="U40" s="258"/>
      <c r="V40" s="258"/>
      <c r="W40" s="258"/>
      <c r="X40" s="258"/>
      <c r="Y40" s="258"/>
      <c r="Z40" s="258"/>
      <c r="AA40" s="263"/>
      <c r="AB40" s="258"/>
      <c r="AC40" s="263"/>
      <c r="AD40" s="353"/>
      <c r="AE40" s="258"/>
      <c r="AF40" s="258"/>
      <c r="AG40" s="258"/>
      <c r="AH40" s="258"/>
      <c r="AI40" s="258"/>
      <c r="AJ40" s="258"/>
      <c r="AK40" s="258"/>
      <c r="AL40" s="258"/>
      <c r="AM40" s="258"/>
      <c r="AN40" s="258"/>
      <c r="AO40" s="258"/>
      <c r="AP40" s="258"/>
      <c r="AQ40" s="258"/>
      <c r="AR40" s="258"/>
      <c r="AS40" s="263"/>
      <c r="AT40" s="353"/>
      <c r="AU40" s="258"/>
      <c r="AV40" s="263"/>
      <c r="AW40" s="353"/>
      <c r="AX40" s="353"/>
      <c r="AY40" s="266"/>
      <c r="AZ40" s="266"/>
      <c r="BA40" s="266"/>
      <c r="BB40" s="266"/>
      <c r="BC40" s="266"/>
    </row>
    <row r="41" spans="1:56" x14ac:dyDescent="0.3">
      <c r="A41" s="222">
        <v>2026</v>
      </c>
      <c r="B41" s="222" t="s">
        <v>35</v>
      </c>
      <c r="C41" s="247" t="s">
        <v>533</v>
      </c>
      <c r="D41" s="247" t="s">
        <v>368</v>
      </c>
      <c r="E41" s="247" t="s">
        <v>31</v>
      </c>
      <c r="F41" s="247" t="s">
        <v>475</v>
      </c>
      <c r="G41" s="248">
        <v>19500000</v>
      </c>
      <c r="H41" s="249">
        <v>0.22800000000000001</v>
      </c>
      <c r="I41" s="250" t="s">
        <v>534</v>
      </c>
      <c r="J41" s="251">
        <v>131</v>
      </c>
      <c r="K41" s="252">
        <v>0</v>
      </c>
      <c r="L41" s="250" t="s">
        <v>32</v>
      </c>
      <c r="M41" s="250" t="s">
        <v>110</v>
      </c>
      <c r="N41" s="258"/>
      <c r="O41" s="253">
        <f>3.16+8</f>
        <v>11.16</v>
      </c>
      <c r="P41" s="250">
        <v>2026</v>
      </c>
      <c r="Q41" s="254">
        <v>46045</v>
      </c>
      <c r="R41" s="254"/>
      <c r="S41" s="247" t="s">
        <v>535</v>
      </c>
      <c r="T41" s="247"/>
      <c r="U41" s="258"/>
      <c r="V41" s="258"/>
      <c r="W41" s="258"/>
      <c r="X41" s="258"/>
      <c r="Y41" s="258"/>
      <c r="Z41" s="258"/>
      <c r="AA41" s="263"/>
      <c r="AB41" s="258"/>
      <c r="AC41" s="263"/>
      <c r="AD41" s="353"/>
      <c r="AE41" s="258"/>
      <c r="AF41" s="258"/>
      <c r="AG41" s="258"/>
      <c r="AH41" s="258"/>
      <c r="AI41" s="258"/>
      <c r="AJ41" s="258"/>
      <c r="AK41" s="258"/>
      <c r="AL41" s="258"/>
      <c r="AM41" s="258"/>
      <c r="AN41" s="258"/>
      <c r="AO41" s="258"/>
      <c r="AP41" s="258"/>
      <c r="AQ41" s="205"/>
      <c r="AR41" s="205"/>
      <c r="AS41" s="263"/>
      <c r="AT41" s="353"/>
      <c r="AU41" s="205"/>
      <c r="AV41" s="263"/>
      <c r="AW41" s="353"/>
      <c r="AX41" s="353"/>
      <c r="AY41" s="266"/>
      <c r="AZ41" s="266"/>
      <c r="BA41" s="266"/>
      <c r="BB41" s="266"/>
      <c r="BC41" s="266"/>
    </row>
    <row r="42" spans="1:56" x14ac:dyDescent="0.3">
      <c r="A42" s="222">
        <v>2026</v>
      </c>
      <c r="B42" s="222" t="s">
        <v>35</v>
      </c>
      <c r="C42" s="354" t="s">
        <v>536</v>
      </c>
      <c r="D42" s="308" t="s">
        <v>305</v>
      </c>
      <c r="E42" s="309" t="s">
        <v>31</v>
      </c>
      <c r="F42" s="247" t="s">
        <v>475</v>
      </c>
      <c r="G42" s="310">
        <v>47000000</v>
      </c>
      <c r="H42" s="311">
        <v>0.20100000000000001</v>
      </c>
      <c r="I42" s="312" t="s">
        <v>503</v>
      </c>
      <c r="J42" s="313">
        <f>282+31</f>
        <v>313</v>
      </c>
      <c r="K42" s="252">
        <v>0.83</v>
      </c>
      <c r="L42" s="314" t="s">
        <v>48</v>
      </c>
      <c r="M42" s="355" t="s">
        <v>100</v>
      </c>
      <c r="N42" s="315" t="s">
        <v>35</v>
      </c>
      <c r="O42" s="260">
        <v>4.7699999999999996</v>
      </c>
      <c r="P42" s="316">
        <v>2026</v>
      </c>
      <c r="Q42" s="317"/>
      <c r="R42" s="317"/>
      <c r="S42" s="318"/>
      <c r="T42" s="356"/>
      <c r="U42" s="258"/>
      <c r="V42" s="258"/>
      <c r="W42" s="258"/>
      <c r="X42" s="258"/>
      <c r="Y42" s="258"/>
      <c r="Z42" s="258"/>
      <c r="AA42" s="263"/>
      <c r="AB42" s="258"/>
      <c r="AC42" s="263"/>
      <c r="AD42" s="353"/>
      <c r="AE42" s="258"/>
      <c r="AF42" s="258"/>
      <c r="AG42" s="258"/>
      <c r="AH42" s="258"/>
      <c r="AI42" s="258"/>
      <c r="AJ42" s="258"/>
      <c r="AK42" s="258"/>
      <c r="AL42" s="258"/>
      <c r="AM42" s="258"/>
      <c r="AN42" s="258"/>
      <c r="AO42" s="258"/>
      <c r="AP42" s="258"/>
      <c r="AQ42" s="258"/>
      <c r="AR42" s="258"/>
      <c r="AS42" s="263"/>
      <c r="AT42" s="353"/>
      <c r="AU42" s="258"/>
      <c r="AV42" s="263"/>
      <c r="AW42" s="353"/>
      <c r="AX42" s="353"/>
      <c r="AY42" s="266"/>
      <c r="AZ42" s="266"/>
      <c r="BA42" s="266"/>
      <c r="BB42" s="266"/>
      <c r="BC42" s="266"/>
    </row>
    <row r="43" spans="1:56" s="266" customFormat="1" x14ac:dyDescent="0.3">
      <c r="A43" s="222">
        <v>2026</v>
      </c>
      <c r="B43" s="222" t="s">
        <v>35</v>
      </c>
      <c r="C43" s="247" t="s">
        <v>537</v>
      </c>
      <c r="D43" s="247" t="s">
        <v>368</v>
      </c>
      <c r="E43" s="247" t="s">
        <v>31</v>
      </c>
      <c r="F43" s="282" t="s">
        <v>475</v>
      </c>
      <c r="G43" s="248">
        <v>18250000</v>
      </c>
      <c r="H43" s="249">
        <v>0.26100000000000001</v>
      </c>
      <c r="I43" s="250" t="s">
        <v>503</v>
      </c>
      <c r="J43" s="357">
        <v>125</v>
      </c>
      <c r="K43" s="252">
        <v>0.95</v>
      </c>
      <c r="L43" s="250" t="s">
        <v>32</v>
      </c>
      <c r="M43" s="250" t="s">
        <v>100</v>
      </c>
      <c r="N43" s="258"/>
      <c r="O43" s="253"/>
      <c r="P43" s="250">
        <v>2026</v>
      </c>
      <c r="Q43" s="254"/>
      <c r="R43" s="254"/>
      <c r="S43" s="247"/>
      <c r="T43" s="247"/>
      <c r="U43" s="250"/>
      <c r="V43" s="250"/>
      <c r="W43" s="250"/>
      <c r="X43" s="250"/>
      <c r="Y43" s="250"/>
      <c r="Z43" s="250"/>
      <c r="AA43" s="256"/>
      <c r="AB43" s="250"/>
      <c r="AC43" s="257"/>
      <c r="AD43" s="258"/>
      <c r="AE43" s="258"/>
      <c r="AF43" s="258"/>
      <c r="AG43" s="258"/>
      <c r="AH43" s="258"/>
      <c r="AI43" s="258"/>
      <c r="AJ43" s="258"/>
      <c r="AK43" s="258"/>
      <c r="AL43" s="258"/>
      <c r="AM43" s="258"/>
      <c r="AN43" s="258"/>
      <c r="AO43" s="258"/>
      <c r="AP43" s="258"/>
      <c r="AQ43" s="250"/>
      <c r="AR43" s="250"/>
      <c r="AS43" s="263"/>
      <c r="AT43" s="358"/>
      <c r="AU43" s="250"/>
      <c r="AV43" s="254"/>
      <c r="AW43" s="358"/>
      <c r="AX43" s="358"/>
    </row>
    <row r="44" spans="1:56" ht="16.2" thickBot="1" x14ac:dyDescent="0.35">
      <c r="A44" s="222"/>
      <c r="B44" s="222"/>
      <c r="C44" s="247"/>
      <c r="D44" s="247"/>
      <c r="E44" s="247"/>
      <c r="F44" s="359"/>
      <c r="G44" s="248"/>
      <c r="H44" s="249"/>
      <c r="I44" s="250"/>
      <c r="J44" s="352"/>
      <c r="K44" s="252"/>
      <c r="L44" s="250"/>
      <c r="M44" s="250"/>
      <c r="N44" s="211"/>
      <c r="O44" s="253"/>
      <c r="P44" s="250"/>
      <c r="Q44" s="254"/>
      <c r="R44" s="254"/>
      <c r="S44" s="282"/>
      <c r="T44" s="282"/>
      <c r="U44" s="258"/>
      <c r="V44" s="258"/>
      <c r="W44" s="258"/>
      <c r="X44" s="258"/>
      <c r="Y44" s="258"/>
      <c r="Z44" s="258"/>
      <c r="AA44" s="256" t="str">
        <f t="shared" ref="AA44" si="4">IF(X44="","",IF(Z44=OR(0,""),Y44+X44,X44+Y44+Z44))</f>
        <v/>
      </c>
      <c r="AB44" s="258"/>
      <c r="AC44" s="256" t="str">
        <f t="shared" ref="AC44" si="5">IF(AA44="","",AB44+AA44)</f>
        <v/>
      </c>
      <c r="AD44" s="258" t="str">
        <f>IF(R44="","",$A$1-R44)</f>
        <v/>
      </c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63" t="str">
        <f>IF(W44="","TBD",W44+AR44)</f>
        <v>TBD</v>
      </c>
      <c r="AT44" s="353"/>
      <c r="AU44" s="258"/>
      <c r="AV44" s="263" t="str">
        <f>IF(AA44="","TBD",AA44+AU44)</f>
        <v>TBD</v>
      </c>
      <c r="AW44" s="288"/>
      <c r="AX44" s="289">
        <f>SUM(AW44,AT44)</f>
        <v>0</v>
      </c>
    </row>
    <row r="45" spans="1:56" ht="16.2" thickTop="1" x14ac:dyDescent="0.3">
      <c r="A45" s="222"/>
      <c r="B45" s="222"/>
      <c r="C45" s="323" t="s">
        <v>538</v>
      </c>
      <c r="D45" s="324">
        <f>COUNTA(C17:C44)</f>
        <v>13</v>
      </c>
      <c r="E45" s="323"/>
      <c r="F45" s="323"/>
      <c r="G45" s="325">
        <f>SUM(G17:G44)</f>
        <v>654150000</v>
      </c>
      <c r="H45" s="326"/>
      <c r="I45" s="324"/>
      <c r="J45" s="327">
        <f>SUM(J17:J44)</f>
        <v>3906</v>
      </c>
      <c r="K45" s="328"/>
      <c r="L45" s="324">
        <f>COUNTIF(L17:L44,"Off-Market")</f>
        <v>4</v>
      </c>
      <c r="M45" s="324"/>
      <c r="N45" s="324"/>
      <c r="O45" s="329">
        <f>SUM(O17:O44)</f>
        <v>59.524000000000001</v>
      </c>
      <c r="P45" s="324"/>
      <c r="Q45" s="330"/>
      <c r="R45" s="330"/>
      <c r="S45" s="331"/>
      <c r="T45" s="331"/>
      <c r="U45" s="332"/>
      <c r="V45" s="332"/>
      <c r="W45" s="332"/>
      <c r="X45" s="332"/>
      <c r="Y45" s="332"/>
      <c r="Z45" s="332"/>
      <c r="AA45" s="333"/>
      <c r="AB45" s="332"/>
      <c r="AC45" s="333"/>
      <c r="AD45" s="334"/>
      <c r="AE45" s="332"/>
      <c r="AF45" s="332"/>
      <c r="AG45" s="332"/>
      <c r="AH45" s="332"/>
      <c r="AI45" s="332"/>
      <c r="AJ45" s="332"/>
      <c r="AK45" s="332"/>
      <c r="AL45" s="332"/>
      <c r="AM45" s="332"/>
      <c r="AN45" s="332"/>
      <c r="AO45" s="332"/>
      <c r="AP45" s="332"/>
      <c r="AQ45" s="332"/>
      <c r="AR45" s="332"/>
      <c r="AS45" s="333"/>
      <c r="AT45" s="334"/>
      <c r="AU45" s="332"/>
      <c r="AV45" s="333"/>
      <c r="AW45" s="339"/>
      <c r="AX45" s="340"/>
    </row>
    <row r="46" spans="1:56" ht="15.75" hidden="1" customHeight="1" outlineLevel="1" x14ac:dyDescent="0.3">
      <c r="A46" s="290">
        <f>COUNTIF(B17:B44,"&lt;&gt;")</f>
        <v>19</v>
      </c>
      <c r="B46" s="291" t="s">
        <v>521</v>
      </c>
      <c r="C46" s="205"/>
      <c r="D46" s="205"/>
      <c r="E46" s="205"/>
      <c r="F46" s="205"/>
      <c r="G46" s="205"/>
      <c r="H46" s="212"/>
      <c r="I46" s="205"/>
      <c r="J46" s="205"/>
      <c r="K46" s="293"/>
      <c r="L46" s="293" t="s">
        <v>85</v>
      </c>
      <c r="M46" s="205"/>
      <c r="N46" s="205"/>
      <c r="O46" s="205"/>
      <c r="P46" s="205"/>
      <c r="Q46" s="206"/>
      <c r="R46" s="206"/>
      <c r="S46" s="205"/>
      <c r="T46" s="205"/>
      <c r="U46" s="205"/>
      <c r="V46" s="205"/>
      <c r="W46" s="205"/>
      <c r="X46" s="205"/>
      <c r="Y46" s="205"/>
      <c r="Z46" s="205"/>
      <c r="AA46" s="206"/>
      <c r="AB46" s="205"/>
      <c r="AC46" s="206"/>
      <c r="AD46" s="218"/>
      <c r="AE46" s="205"/>
      <c r="AF46" s="205"/>
      <c r="AG46" s="205"/>
      <c r="AH46" s="205"/>
      <c r="AI46" s="205"/>
      <c r="AJ46" s="205"/>
      <c r="AK46" s="205"/>
      <c r="AL46" s="205"/>
      <c r="AM46" s="205"/>
      <c r="AN46" s="205"/>
      <c r="AO46" s="205"/>
      <c r="AP46" s="205"/>
      <c r="AQ46" s="205"/>
      <c r="AR46" s="205"/>
      <c r="AS46" s="206"/>
      <c r="AT46" s="218"/>
      <c r="AU46" s="205"/>
      <c r="AV46" s="206"/>
      <c r="AW46" s="218"/>
      <c r="AX46" s="218"/>
      <c r="AY46" s="266"/>
      <c r="AZ46" s="266"/>
      <c r="BA46" s="266"/>
      <c r="BB46" s="266"/>
      <c r="BC46" s="266"/>
      <c r="BD46" s="266"/>
    </row>
    <row r="47" spans="1:56" ht="15.75" hidden="1" customHeight="1" outlineLevel="1" x14ac:dyDescent="0.3">
      <c r="A47" s="222">
        <f>COUNTIF(A17:A44,"2023")</f>
        <v>0</v>
      </c>
      <c r="B47" s="296" t="s">
        <v>84</v>
      </c>
      <c r="C47" s="205"/>
      <c r="D47" s="205"/>
      <c r="E47" s="205"/>
      <c r="F47" s="205"/>
      <c r="G47" s="205"/>
      <c r="H47" s="212"/>
      <c r="I47" s="205"/>
      <c r="J47" s="205"/>
      <c r="K47" s="293"/>
      <c r="L47" s="293"/>
      <c r="M47" s="205"/>
      <c r="N47" s="205"/>
      <c r="O47" s="205"/>
      <c r="P47" s="205"/>
      <c r="Q47" s="206"/>
      <c r="R47" s="206"/>
      <c r="S47" s="205"/>
      <c r="T47" s="205"/>
      <c r="U47" s="205"/>
      <c r="V47" s="205"/>
      <c r="W47" s="205"/>
      <c r="X47" s="205"/>
      <c r="Y47" s="205"/>
      <c r="Z47" s="205"/>
      <c r="AA47" s="206"/>
      <c r="AB47" s="205"/>
      <c r="AC47" s="206"/>
      <c r="AD47" s="218"/>
      <c r="AE47" s="205"/>
      <c r="AF47" s="205"/>
      <c r="AG47" s="205"/>
      <c r="AH47" s="205"/>
      <c r="AI47" s="205"/>
      <c r="AJ47" s="205"/>
      <c r="AK47" s="205"/>
      <c r="AL47" s="205"/>
      <c r="AM47" s="205"/>
      <c r="AN47" s="205"/>
      <c r="AO47" s="205"/>
      <c r="AP47" s="205"/>
      <c r="AQ47" s="205"/>
      <c r="AR47" s="205"/>
      <c r="AS47" s="206"/>
      <c r="AT47" s="218"/>
      <c r="AU47" s="205"/>
      <c r="AV47" s="206"/>
      <c r="AW47" s="218"/>
      <c r="AX47" s="218"/>
      <c r="AY47" s="266"/>
      <c r="AZ47" s="266"/>
      <c r="BA47" s="266"/>
      <c r="BB47" s="266"/>
      <c r="BC47" s="266"/>
      <c r="BD47" s="266"/>
    </row>
    <row r="48" spans="1:56" s="266" customFormat="1" ht="15.75" hidden="1" customHeight="1" outlineLevel="1" x14ac:dyDescent="0.3">
      <c r="A48" s="222">
        <f>COUNTIF(A17:A44,"2023")</f>
        <v>0</v>
      </c>
      <c r="B48" s="296" t="s">
        <v>86</v>
      </c>
      <c r="C48" s="205"/>
      <c r="D48" s="205"/>
      <c r="E48" s="205"/>
      <c r="F48" s="205"/>
      <c r="G48" s="205"/>
      <c r="H48" s="212"/>
      <c r="I48" s="205"/>
      <c r="J48" s="205"/>
      <c r="K48" s="293"/>
      <c r="L48" s="205"/>
      <c r="M48" s="205"/>
      <c r="N48" s="205"/>
      <c r="O48" s="205"/>
      <c r="P48" s="205"/>
      <c r="Q48" s="206"/>
      <c r="R48" s="206"/>
      <c r="S48" s="205"/>
      <c r="T48" s="205"/>
      <c r="U48" s="205"/>
      <c r="V48" s="205"/>
      <c r="W48" s="205"/>
      <c r="X48" s="205"/>
      <c r="Y48" s="205"/>
      <c r="Z48" s="205"/>
      <c r="AA48" s="206"/>
      <c r="AB48" s="205"/>
      <c r="AC48" s="206"/>
      <c r="AD48" s="218"/>
      <c r="AE48" s="205"/>
      <c r="AF48" s="205"/>
      <c r="AG48" s="205"/>
      <c r="AH48" s="205"/>
      <c r="AI48" s="205"/>
      <c r="AJ48" s="205"/>
      <c r="AK48" s="205"/>
      <c r="AL48" s="205"/>
      <c r="AM48" s="205"/>
      <c r="AN48" s="205"/>
      <c r="AO48" s="205"/>
      <c r="AP48" s="205"/>
      <c r="AQ48" s="205"/>
      <c r="AR48" s="205"/>
      <c r="AS48" s="206"/>
      <c r="AT48" s="218"/>
      <c r="AU48" s="205"/>
      <c r="AV48" s="206"/>
      <c r="AW48" s="218"/>
      <c r="AX48" s="218"/>
    </row>
    <row r="49" spans="1:56" ht="15.75" hidden="1" customHeight="1" outlineLevel="1" x14ac:dyDescent="0.3">
      <c r="A49" s="222">
        <f>COUNTIF(A17:A44,"2025")</f>
        <v>5</v>
      </c>
      <c r="B49" s="296" t="s">
        <v>87</v>
      </c>
      <c r="C49" s="205"/>
      <c r="D49" s="205"/>
      <c r="E49" s="205"/>
      <c r="F49" s="205"/>
      <c r="G49" s="205"/>
      <c r="H49" s="212"/>
      <c r="I49" s="205"/>
      <c r="J49" s="205"/>
      <c r="K49" s="297"/>
      <c r="L49" s="266"/>
      <c r="M49" s="205"/>
      <c r="N49" s="205"/>
      <c r="O49" s="205"/>
      <c r="P49" s="205"/>
      <c r="Q49" s="206"/>
      <c r="R49" s="206"/>
      <c r="S49" s="205"/>
      <c r="T49" s="205"/>
      <c r="U49" s="205"/>
      <c r="V49" s="205"/>
      <c r="W49" s="205"/>
      <c r="X49" s="205"/>
      <c r="Y49" s="205"/>
      <c r="Z49" s="205"/>
      <c r="AA49" s="206"/>
      <c r="AB49" s="205"/>
      <c r="AC49" s="206"/>
      <c r="AD49" s="218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205"/>
      <c r="AS49" s="206"/>
      <c r="AT49" s="218"/>
      <c r="AU49" s="205"/>
      <c r="AV49" s="206"/>
      <c r="AW49" s="218"/>
      <c r="AX49" s="218"/>
      <c r="AY49" s="266"/>
      <c r="AZ49" s="266"/>
      <c r="BA49" s="266"/>
      <c r="BB49" s="266"/>
      <c r="BC49" s="266"/>
      <c r="BD49" s="266"/>
    </row>
    <row r="50" spans="1:56" ht="15.75" hidden="1" customHeight="1" outlineLevel="1" x14ac:dyDescent="0.3">
      <c r="A50" s="222">
        <f>COUNTIF(A17:A44,"2024")</f>
        <v>0</v>
      </c>
      <c r="B50" s="296" t="s">
        <v>522</v>
      </c>
      <c r="C50" s="205"/>
      <c r="D50" s="205"/>
      <c r="E50" s="205"/>
      <c r="F50" s="205"/>
      <c r="G50" s="205"/>
      <c r="H50" s="212"/>
      <c r="I50" s="205"/>
      <c r="J50" s="205"/>
      <c r="K50" s="297"/>
      <c r="L50" s="266"/>
      <c r="M50" s="205"/>
      <c r="N50" s="205"/>
      <c r="O50" s="205"/>
      <c r="P50" s="205"/>
      <c r="Q50" s="206"/>
      <c r="R50" s="206"/>
      <c r="S50" s="205"/>
      <c r="T50" s="205"/>
      <c r="U50" s="205"/>
      <c r="V50" s="205"/>
      <c r="W50" s="205"/>
      <c r="X50" s="205"/>
      <c r="Y50" s="205"/>
      <c r="Z50" s="205"/>
      <c r="AA50" s="206"/>
      <c r="AB50" s="205"/>
      <c r="AC50" s="206"/>
      <c r="AD50" s="218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205"/>
      <c r="AS50" s="206"/>
      <c r="AT50" s="218"/>
      <c r="AU50" s="205"/>
      <c r="AV50" s="206"/>
      <c r="AW50" s="218"/>
      <c r="AX50" s="218"/>
      <c r="AY50" s="266"/>
      <c r="AZ50" s="266"/>
      <c r="BA50" s="266"/>
      <c r="BB50" s="266"/>
      <c r="BC50" s="266"/>
      <c r="BD50" s="266"/>
    </row>
    <row r="51" spans="1:56" collapsed="1" x14ac:dyDescent="0.3">
      <c r="A51" s="222"/>
      <c r="B51" s="222"/>
      <c r="C51" s="266"/>
      <c r="D51" s="266"/>
      <c r="E51" s="266"/>
      <c r="F51" s="266"/>
      <c r="G51" s="205"/>
      <c r="H51" s="212"/>
      <c r="I51" s="205"/>
      <c r="J51" s="205"/>
      <c r="K51" s="205"/>
      <c r="L51" s="205"/>
      <c r="M51" s="205"/>
      <c r="N51" s="205"/>
      <c r="O51" s="298"/>
      <c r="P51" s="205"/>
      <c r="Q51" s="206"/>
      <c r="R51" s="206"/>
      <c r="S51" s="194"/>
      <c r="T51" s="194"/>
    </row>
    <row r="52" spans="1:56" x14ac:dyDescent="0.3">
      <c r="A52" s="222"/>
      <c r="B52" s="222"/>
      <c r="C52" s="232" t="s">
        <v>463</v>
      </c>
      <c r="D52" s="233"/>
      <c r="E52" s="233"/>
      <c r="F52" s="233"/>
      <c r="G52" s="234"/>
      <c r="H52" s="235"/>
      <c r="I52" s="234"/>
      <c r="J52" s="234"/>
      <c r="K52" s="234"/>
      <c r="L52" s="234"/>
      <c r="M52" s="234"/>
      <c r="N52" s="234"/>
      <c r="O52" s="346"/>
      <c r="P52" s="234"/>
      <c r="Q52" s="236"/>
      <c r="R52" s="236"/>
      <c r="S52" s="233"/>
      <c r="T52" s="233"/>
      <c r="U52" s="234"/>
      <c r="V52" s="234"/>
      <c r="W52" s="234"/>
      <c r="X52" s="234"/>
      <c r="Y52" s="234"/>
      <c r="Z52" s="234"/>
      <c r="AA52" s="236"/>
      <c r="AB52" s="234"/>
      <c r="AC52" s="236"/>
      <c r="AD52" s="347"/>
      <c r="AE52" s="234"/>
      <c r="AF52" s="234"/>
      <c r="AG52" s="234"/>
      <c r="AH52" s="234"/>
      <c r="AI52" s="234"/>
      <c r="AJ52" s="234"/>
      <c r="AK52" s="234"/>
      <c r="AL52" s="234"/>
      <c r="AM52" s="234"/>
      <c r="AN52" s="234"/>
      <c r="AO52" s="234"/>
      <c r="AP52" s="234"/>
      <c r="AQ52" s="234"/>
      <c r="AR52" s="234"/>
      <c r="AS52" s="236"/>
      <c r="AT52" s="347"/>
      <c r="AU52" s="234"/>
      <c r="AV52" s="236"/>
      <c r="AW52" s="347"/>
      <c r="AX52" s="347"/>
    </row>
    <row r="53" spans="1:56" x14ac:dyDescent="0.3">
      <c r="A53" s="222">
        <v>2025</v>
      </c>
      <c r="B53" s="222" t="s">
        <v>35</v>
      </c>
      <c r="C53" s="282" t="s">
        <v>73</v>
      </c>
      <c r="D53" s="282" t="s">
        <v>74</v>
      </c>
      <c r="E53" s="282" t="s">
        <v>75</v>
      </c>
      <c r="F53" s="247" t="s">
        <v>463</v>
      </c>
      <c r="G53" s="283">
        <v>23000000</v>
      </c>
      <c r="H53" s="284">
        <v>0.22900000000000001</v>
      </c>
      <c r="I53" s="258" t="s">
        <v>503</v>
      </c>
      <c r="J53" s="285">
        <v>225</v>
      </c>
      <c r="K53" s="286">
        <v>0.95</v>
      </c>
      <c r="L53" s="360" t="s">
        <v>48</v>
      </c>
      <c r="M53" s="361" t="s">
        <v>100</v>
      </c>
      <c r="N53" s="360" t="s">
        <v>35</v>
      </c>
      <c r="O53" s="360"/>
      <c r="P53" s="360"/>
      <c r="Q53" s="362"/>
      <c r="R53" s="362"/>
      <c r="S53" s="363" t="s">
        <v>539</v>
      </c>
      <c r="T53" s="282"/>
      <c r="U53" s="258"/>
      <c r="V53" s="258"/>
      <c r="W53" s="258"/>
      <c r="X53" s="258"/>
      <c r="Y53" s="258"/>
      <c r="Z53" s="258"/>
      <c r="AA53" s="263"/>
      <c r="AB53" s="258"/>
      <c r="AC53" s="263"/>
      <c r="AD53" s="353"/>
      <c r="AE53" s="258"/>
      <c r="AF53" s="258"/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258"/>
      <c r="AR53" s="258"/>
      <c r="AS53" s="263"/>
      <c r="AT53" s="353"/>
      <c r="AU53" s="258"/>
      <c r="AV53" s="263"/>
      <c r="AW53" s="353"/>
      <c r="AX53" s="353"/>
      <c r="AY53" s="266"/>
      <c r="AZ53" s="266"/>
      <c r="BA53" s="266"/>
      <c r="BB53" s="266"/>
    </row>
    <row r="54" spans="1:56" x14ac:dyDescent="0.3">
      <c r="A54" s="222">
        <v>2026</v>
      </c>
      <c r="B54" s="222"/>
      <c r="C54" s="354" t="s">
        <v>540</v>
      </c>
      <c r="D54" s="308" t="s">
        <v>43</v>
      </c>
      <c r="E54" s="309" t="s">
        <v>31</v>
      </c>
      <c r="F54" s="364" t="s">
        <v>151</v>
      </c>
      <c r="G54" s="310">
        <v>19000000</v>
      </c>
      <c r="H54" s="365" t="s">
        <v>42</v>
      </c>
      <c r="I54" s="312" t="s">
        <v>531</v>
      </c>
      <c r="J54" s="314"/>
      <c r="K54" s="314"/>
      <c r="L54" s="314" t="s">
        <v>32</v>
      </c>
      <c r="M54" s="355"/>
      <c r="N54" s="315"/>
      <c r="O54" s="366"/>
      <c r="P54" s="316"/>
      <c r="Q54" s="317"/>
      <c r="R54" s="317"/>
      <c r="S54" s="318"/>
      <c r="T54" s="356"/>
      <c r="U54" s="258"/>
      <c r="V54" s="258"/>
      <c r="W54" s="258"/>
      <c r="X54" s="258"/>
      <c r="Y54" s="258"/>
      <c r="Z54" s="258"/>
      <c r="AA54" s="263"/>
      <c r="AB54" s="258"/>
      <c r="AC54" s="263"/>
      <c r="AD54" s="353"/>
      <c r="AE54" s="258"/>
      <c r="AF54" s="258"/>
      <c r="AG54" s="258"/>
      <c r="AH54" s="258"/>
      <c r="AI54" s="258"/>
      <c r="AJ54" s="258"/>
      <c r="AK54" s="258"/>
      <c r="AL54" s="258"/>
      <c r="AM54" s="258"/>
      <c r="AN54" s="258"/>
      <c r="AO54" s="258"/>
      <c r="AP54" s="258"/>
      <c r="AQ54" s="258"/>
      <c r="AR54" s="258"/>
      <c r="AS54" s="263"/>
      <c r="AT54" s="353"/>
      <c r="AU54" s="258"/>
      <c r="AV54" s="263"/>
      <c r="AW54" s="353"/>
      <c r="AX54" s="353"/>
      <c r="AY54" s="266"/>
      <c r="AZ54" s="266"/>
      <c r="BA54" s="266"/>
      <c r="BB54" s="266"/>
      <c r="BC54" s="266"/>
    </row>
    <row r="55" spans="1:56" x14ac:dyDescent="0.3">
      <c r="A55" s="222">
        <v>2026</v>
      </c>
      <c r="B55" s="222"/>
      <c r="C55" s="354" t="s">
        <v>541</v>
      </c>
      <c r="D55" s="308" t="s">
        <v>542</v>
      </c>
      <c r="E55" s="309" t="s">
        <v>31</v>
      </c>
      <c r="F55" s="364" t="s">
        <v>543</v>
      </c>
      <c r="G55" s="310">
        <v>500000000</v>
      </c>
      <c r="H55" s="365" t="s">
        <v>42</v>
      </c>
      <c r="I55" s="312" t="s">
        <v>531</v>
      </c>
      <c r="J55" s="313">
        <v>6900</v>
      </c>
      <c r="K55" s="314" t="s">
        <v>42</v>
      </c>
      <c r="L55" s="314" t="s">
        <v>48</v>
      </c>
      <c r="M55" s="355"/>
      <c r="N55" s="315"/>
      <c r="O55" s="366"/>
      <c r="P55" s="316"/>
      <c r="Q55" s="317"/>
      <c r="R55" s="317"/>
      <c r="S55" s="318"/>
      <c r="T55" s="356"/>
      <c r="U55" s="258"/>
      <c r="V55" s="258"/>
      <c r="W55" s="258"/>
      <c r="X55" s="258"/>
      <c r="Y55" s="258"/>
      <c r="Z55" s="258"/>
      <c r="AA55" s="263"/>
      <c r="AB55" s="258"/>
      <c r="AC55" s="263"/>
      <c r="AD55" s="353"/>
      <c r="AE55" s="258"/>
      <c r="AF55" s="258"/>
      <c r="AG55" s="258"/>
      <c r="AH55" s="258"/>
      <c r="AI55" s="258"/>
      <c r="AJ55" s="258"/>
      <c r="AK55" s="258"/>
      <c r="AL55" s="258"/>
      <c r="AM55" s="258"/>
      <c r="AN55" s="258"/>
      <c r="AO55" s="258"/>
      <c r="AP55" s="258"/>
      <c r="AQ55" s="258"/>
      <c r="AR55" s="258"/>
      <c r="AS55" s="263"/>
      <c r="AT55" s="353"/>
      <c r="AU55" s="258"/>
      <c r="AV55" s="263"/>
      <c r="AW55" s="353"/>
      <c r="AX55" s="353"/>
      <c r="AY55" s="266"/>
      <c r="AZ55" s="266"/>
      <c r="BA55" s="266"/>
      <c r="BB55" s="266"/>
      <c r="BC55" s="266"/>
    </row>
    <row r="56" spans="1:56" x14ac:dyDescent="0.3">
      <c r="A56" s="222">
        <v>2026</v>
      </c>
      <c r="B56" s="222"/>
      <c r="C56" s="354" t="s">
        <v>544</v>
      </c>
      <c r="D56" s="308" t="s">
        <v>545</v>
      </c>
      <c r="E56" s="309" t="s">
        <v>546</v>
      </c>
      <c r="F56" s="364" t="s">
        <v>151</v>
      </c>
      <c r="G56" s="310" t="s">
        <v>42</v>
      </c>
      <c r="H56" s="365" t="s">
        <v>42</v>
      </c>
      <c r="I56" s="312" t="s">
        <v>503</v>
      </c>
      <c r="J56" s="313">
        <v>550</v>
      </c>
      <c r="K56" s="314" t="s">
        <v>42</v>
      </c>
      <c r="L56" s="314" t="s">
        <v>48</v>
      </c>
      <c r="M56" s="355"/>
      <c r="N56" s="315"/>
      <c r="O56" s="366"/>
      <c r="P56" s="316"/>
      <c r="Q56" s="317"/>
      <c r="R56" s="317"/>
      <c r="S56" s="318"/>
      <c r="T56" s="356"/>
      <c r="U56" s="258"/>
      <c r="V56" s="258"/>
      <c r="W56" s="258"/>
      <c r="X56" s="258"/>
      <c r="Y56" s="258"/>
      <c r="Z56" s="258"/>
      <c r="AA56" s="263"/>
      <c r="AB56" s="258"/>
      <c r="AC56" s="263"/>
      <c r="AD56" s="353"/>
      <c r="AE56" s="258"/>
      <c r="AF56" s="258"/>
      <c r="AG56" s="258"/>
      <c r="AH56" s="258"/>
      <c r="AI56" s="258"/>
      <c r="AJ56" s="258"/>
      <c r="AK56" s="258"/>
      <c r="AL56" s="258"/>
      <c r="AM56" s="258"/>
      <c r="AN56" s="258"/>
      <c r="AO56" s="258"/>
      <c r="AP56" s="258"/>
      <c r="AQ56" s="258"/>
      <c r="AR56" s="258"/>
      <c r="AS56" s="263"/>
      <c r="AT56" s="353"/>
      <c r="AU56" s="258"/>
      <c r="AV56" s="263"/>
      <c r="AW56" s="353"/>
      <c r="AX56" s="353"/>
      <c r="AY56" s="266"/>
      <c r="AZ56" s="266"/>
      <c r="BA56" s="266"/>
      <c r="BB56" s="266"/>
      <c r="BC56" s="266"/>
    </row>
    <row r="57" spans="1:56" s="266" customFormat="1" x14ac:dyDescent="0.3">
      <c r="A57" s="222">
        <v>2024</v>
      </c>
      <c r="B57" s="222" t="s">
        <v>35</v>
      </c>
      <c r="C57" s="247" t="s">
        <v>55</v>
      </c>
      <c r="D57" s="247" t="s">
        <v>56</v>
      </c>
      <c r="E57" s="247" t="s">
        <v>57</v>
      </c>
      <c r="F57" s="282" t="s">
        <v>463</v>
      </c>
      <c r="G57" s="248">
        <v>45000000</v>
      </c>
      <c r="H57" s="249">
        <v>0.247</v>
      </c>
      <c r="I57" s="250" t="s">
        <v>503</v>
      </c>
      <c r="J57" s="251">
        <v>855</v>
      </c>
      <c r="K57" s="252">
        <v>0.9</v>
      </c>
      <c r="L57" s="250" t="s">
        <v>32</v>
      </c>
      <c r="M57" s="250" t="s">
        <v>547</v>
      </c>
      <c r="N57" s="211" t="str">
        <f>IF(L57="Broker","","Yes")</f>
        <v/>
      </c>
      <c r="O57" s="253" t="s">
        <v>116</v>
      </c>
      <c r="P57" s="250"/>
      <c r="Q57" s="254"/>
      <c r="R57" s="254"/>
      <c r="S57" s="247"/>
      <c r="T57" s="247"/>
      <c r="U57" s="250"/>
      <c r="V57" s="250"/>
      <c r="W57" s="250"/>
      <c r="X57" s="250"/>
      <c r="Y57" s="250"/>
      <c r="Z57" s="250"/>
      <c r="AA57" s="256" t="str">
        <f>IF(X57="","",IF(Z57=OR(0,""),Y57+X57,X57+Y57+Z57))</f>
        <v/>
      </c>
      <c r="AB57" s="250"/>
      <c r="AC57" s="257"/>
      <c r="AD57" s="258" t="str">
        <f>IF(R57="","",$A$1-R57)</f>
        <v/>
      </c>
      <c r="AE57" s="258"/>
      <c r="AF57" s="258"/>
      <c r="AG57" s="258"/>
      <c r="AH57" s="258"/>
      <c r="AI57" s="258"/>
      <c r="AJ57" s="258"/>
      <c r="AK57" s="258"/>
      <c r="AL57" s="258"/>
      <c r="AM57" s="258"/>
      <c r="AN57" s="258"/>
      <c r="AO57" s="258"/>
      <c r="AP57" s="258"/>
      <c r="AQ57" s="250"/>
      <c r="AR57" s="250"/>
      <c r="AS57" s="263" t="str">
        <f>IF(W57="","TBD",W57+AR57)</f>
        <v>TBD</v>
      </c>
      <c r="AT57" s="358"/>
      <c r="AU57" s="250"/>
      <c r="AV57" s="254" t="str">
        <f>IF(AA57="","TBD",AA57+AU57)</f>
        <v>TBD</v>
      </c>
      <c r="AW57" s="358"/>
      <c r="AX57" s="358"/>
    </row>
    <row r="58" spans="1:56" s="266" customFormat="1" x14ac:dyDescent="0.3">
      <c r="A58" s="222">
        <v>2026</v>
      </c>
      <c r="B58" s="222"/>
      <c r="C58" s="247" t="s">
        <v>548</v>
      </c>
      <c r="D58" s="247" t="s">
        <v>549</v>
      </c>
      <c r="E58" s="247" t="s">
        <v>130</v>
      </c>
      <c r="F58" s="282" t="s">
        <v>151</v>
      </c>
      <c r="G58" s="248">
        <v>20000000</v>
      </c>
      <c r="H58" s="249" t="s">
        <v>42</v>
      </c>
      <c r="I58" s="250" t="s">
        <v>503</v>
      </c>
      <c r="J58" s="357">
        <v>400</v>
      </c>
      <c r="K58" s="252" t="s">
        <v>42</v>
      </c>
      <c r="L58" s="250" t="s">
        <v>32</v>
      </c>
      <c r="M58" s="250"/>
      <c r="N58" s="258"/>
      <c r="O58" s="253"/>
      <c r="P58" s="250"/>
      <c r="Q58" s="254"/>
      <c r="R58" s="254"/>
      <c r="S58" s="247"/>
      <c r="T58" s="247"/>
      <c r="U58" s="250"/>
      <c r="V58" s="250"/>
      <c r="W58" s="250"/>
      <c r="X58" s="250"/>
      <c r="Y58" s="250"/>
      <c r="Z58" s="250"/>
      <c r="AA58" s="256"/>
      <c r="AB58" s="250"/>
      <c r="AC58" s="257"/>
      <c r="AD58" s="258"/>
      <c r="AE58" s="258"/>
      <c r="AF58" s="258"/>
      <c r="AG58" s="258"/>
      <c r="AH58" s="258"/>
      <c r="AI58" s="258"/>
      <c r="AJ58" s="258"/>
      <c r="AK58" s="258"/>
      <c r="AL58" s="258"/>
      <c r="AM58" s="258"/>
      <c r="AN58" s="258"/>
      <c r="AO58" s="258"/>
      <c r="AP58" s="258"/>
      <c r="AQ58" s="250"/>
      <c r="AR58" s="250"/>
      <c r="AS58" s="263"/>
      <c r="AT58" s="358"/>
      <c r="AU58" s="250"/>
      <c r="AV58" s="254"/>
      <c r="AW58" s="358"/>
      <c r="AX58" s="358"/>
    </row>
    <row r="59" spans="1:56" s="266" customFormat="1" ht="16.2" thickBot="1" x14ac:dyDescent="0.35">
      <c r="A59" s="222"/>
      <c r="B59" s="222"/>
      <c r="C59" s="247"/>
      <c r="D59" s="247"/>
      <c r="E59" s="247"/>
      <c r="F59" s="247"/>
      <c r="G59" s="248"/>
      <c r="H59" s="252"/>
      <c r="I59" s="250"/>
      <c r="J59" s="357"/>
      <c r="K59" s="252"/>
      <c r="L59" s="250"/>
      <c r="M59" s="250"/>
      <c r="N59" s="250"/>
      <c r="O59" s="253"/>
      <c r="P59" s="250"/>
      <c r="Q59" s="254"/>
      <c r="R59" s="254"/>
      <c r="S59" s="247"/>
      <c r="T59" s="247"/>
      <c r="U59" s="250"/>
      <c r="V59" s="250"/>
      <c r="W59" s="250"/>
      <c r="X59" s="250"/>
      <c r="Y59" s="250"/>
      <c r="Z59" s="250"/>
      <c r="AA59" s="254"/>
      <c r="AB59" s="250"/>
      <c r="AC59" s="254"/>
      <c r="AD59" s="358"/>
      <c r="AE59" s="258"/>
      <c r="AF59" s="258"/>
      <c r="AG59" s="258"/>
      <c r="AH59" s="258"/>
      <c r="AI59" s="258"/>
      <c r="AJ59" s="258"/>
      <c r="AK59" s="258"/>
      <c r="AL59" s="258"/>
      <c r="AM59" s="258"/>
      <c r="AN59" s="258"/>
      <c r="AO59" s="258"/>
      <c r="AP59" s="258"/>
      <c r="AQ59" s="250"/>
      <c r="AR59" s="250"/>
      <c r="AS59" s="254"/>
      <c r="AT59" s="358"/>
      <c r="AU59" s="250"/>
      <c r="AV59" s="254"/>
      <c r="AW59" s="358"/>
      <c r="AX59" s="358"/>
    </row>
    <row r="60" spans="1:56" s="266" customFormat="1" ht="16.2" thickTop="1" x14ac:dyDescent="0.3">
      <c r="A60" s="222"/>
      <c r="B60" s="222"/>
      <c r="C60" s="323" t="s">
        <v>550</v>
      </c>
      <c r="D60" s="324">
        <f>COUNTA(C53:C59)</f>
        <v>6</v>
      </c>
      <c r="E60" s="323"/>
      <c r="F60" s="323"/>
      <c r="G60" s="325">
        <f>SUM(G53:G59)</f>
        <v>607000000</v>
      </c>
      <c r="H60" s="328"/>
      <c r="I60" s="324"/>
      <c r="J60" s="327">
        <f>SUM(J53:J59)</f>
        <v>8930</v>
      </c>
      <c r="K60" s="328"/>
      <c r="L60" s="324">
        <f>COUNTIF(L53:L59,"Off-Market")</f>
        <v>3</v>
      </c>
      <c r="M60" s="324"/>
      <c r="N60" s="324"/>
      <c r="O60" s="329">
        <f>SUM(O53:O59)</f>
        <v>0</v>
      </c>
      <c r="P60" s="324"/>
      <c r="Q60" s="330"/>
      <c r="R60" s="330"/>
      <c r="S60" s="323"/>
      <c r="T60" s="323"/>
      <c r="U60" s="324"/>
      <c r="V60" s="324"/>
      <c r="W60" s="324"/>
      <c r="X60" s="324"/>
      <c r="Y60" s="324"/>
      <c r="Z60" s="324"/>
      <c r="AA60" s="330"/>
      <c r="AB60" s="324"/>
      <c r="AC60" s="330"/>
      <c r="AD60" s="367"/>
      <c r="AE60" s="324"/>
      <c r="AF60" s="324"/>
      <c r="AG60" s="324"/>
      <c r="AH60" s="324"/>
      <c r="AI60" s="324"/>
      <c r="AJ60" s="324"/>
      <c r="AK60" s="324"/>
      <c r="AL60" s="324"/>
      <c r="AM60" s="324"/>
      <c r="AN60" s="324"/>
      <c r="AO60" s="324"/>
      <c r="AP60" s="324"/>
      <c r="AQ60" s="324"/>
      <c r="AR60" s="324"/>
      <c r="AS60" s="330"/>
      <c r="AT60" s="367"/>
      <c r="AU60" s="324"/>
      <c r="AV60" s="330"/>
      <c r="AW60" s="367"/>
      <c r="AX60" s="367"/>
    </row>
    <row r="61" spans="1:56" ht="15.75" hidden="1" customHeight="1" outlineLevel="1" x14ac:dyDescent="0.3">
      <c r="A61" s="290">
        <f>COUNTIF(B53:B59,"&lt;&gt;")</f>
        <v>2</v>
      </c>
      <c r="B61" s="291" t="s">
        <v>521</v>
      </c>
      <c r="C61" s="205"/>
      <c r="D61" s="205"/>
      <c r="E61" s="205"/>
      <c r="F61" s="205"/>
      <c r="G61" s="205"/>
      <c r="H61" s="212"/>
      <c r="I61" s="205"/>
      <c r="J61" s="205"/>
      <c r="K61" s="293"/>
      <c r="L61" s="293" t="s">
        <v>85</v>
      </c>
      <c r="M61" s="205"/>
      <c r="N61" s="205"/>
      <c r="O61" s="205"/>
      <c r="P61" s="205"/>
      <c r="Q61" s="206"/>
      <c r="R61" s="206"/>
      <c r="S61" s="205"/>
      <c r="T61" s="205"/>
      <c r="U61" s="205"/>
      <c r="V61" s="205"/>
      <c r="W61" s="205"/>
      <c r="X61" s="205"/>
      <c r="Y61" s="205"/>
      <c r="Z61" s="205"/>
      <c r="AA61" s="206"/>
      <c r="AB61" s="205"/>
      <c r="AC61" s="206"/>
      <c r="AD61" s="218"/>
      <c r="AE61" s="205"/>
      <c r="AF61" s="205"/>
      <c r="AG61" s="205"/>
      <c r="AH61" s="205"/>
      <c r="AI61" s="205"/>
      <c r="AJ61" s="205"/>
      <c r="AK61" s="205"/>
      <c r="AL61" s="205"/>
      <c r="AM61" s="205"/>
      <c r="AN61" s="205"/>
      <c r="AO61" s="205"/>
      <c r="AP61" s="205"/>
      <c r="AQ61" s="205"/>
      <c r="AR61" s="205"/>
      <c r="AS61" s="206"/>
      <c r="AT61" s="218"/>
      <c r="AU61" s="205"/>
      <c r="AV61" s="206"/>
      <c r="AW61" s="218"/>
      <c r="AX61" s="218"/>
      <c r="AY61" s="266"/>
      <c r="AZ61" s="266"/>
      <c r="BA61" s="266"/>
      <c r="BB61" s="266"/>
      <c r="BC61" s="266"/>
      <c r="BD61" s="266"/>
    </row>
    <row r="62" spans="1:56" ht="15.75" hidden="1" customHeight="1" outlineLevel="1" x14ac:dyDescent="0.3">
      <c r="A62" s="222">
        <f>COUNTIF(A53:A59,"2023")</f>
        <v>0</v>
      </c>
      <c r="B62" s="296" t="s">
        <v>84</v>
      </c>
      <c r="C62" s="205"/>
      <c r="D62" s="205"/>
      <c r="E62" s="205"/>
      <c r="F62" s="205"/>
      <c r="G62" s="205"/>
      <c r="H62" s="212"/>
      <c r="I62" s="205"/>
      <c r="J62" s="205"/>
      <c r="K62" s="293"/>
      <c r="L62" s="293"/>
      <c r="M62" s="205"/>
      <c r="N62" s="205"/>
      <c r="O62" s="205"/>
      <c r="P62" s="205"/>
      <c r="Q62" s="206"/>
      <c r="R62" s="206"/>
      <c r="S62" s="205"/>
      <c r="T62" s="205"/>
      <c r="U62" s="205"/>
      <c r="V62" s="205"/>
      <c r="W62" s="205"/>
      <c r="X62" s="205"/>
      <c r="Y62" s="205"/>
      <c r="Z62" s="205"/>
      <c r="AA62" s="206"/>
      <c r="AB62" s="205"/>
      <c r="AC62" s="206"/>
      <c r="AD62" s="218"/>
      <c r="AE62" s="205"/>
      <c r="AF62" s="205"/>
      <c r="AG62" s="205"/>
      <c r="AH62" s="205"/>
      <c r="AI62" s="205"/>
      <c r="AJ62" s="205"/>
      <c r="AK62" s="205"/>
      <c r="AL62" s="205"/>
      <c r="AM62" s="205"/>
      <c r="AN62" s="205"/>
      <c r="AO62" s="205"/>
      <c r="AP62" s="205"/>
      <c r="AQ62" s="205"/>
      <c r="AR62" s="205"/>
      <c r="AS62" s="206"/>
      <c r="AT62" s="218"/>
      <c r="AU62" s="205"/>
      <c r="AV62" s="206"/>
      <c r="AW62" s="218"/>
      <c r="AX62" s="218"/>
      <c r="AY62" s="266"/>
      <c r="AZ62" s="266"/>
      <c r="BA62" s="266"/>
      <c r="BB62" s="266"/>
      <c r="BC62" s="266"/>
      <c r="BD62" s="266"/>
    </row>
    <row r="63" spans="1:56" s="266" customFormat="1" ht="15.75" hidden="1" customHeight="1" outlineLevel="1" x14ac:dyDescent="0.3">
      <c r="A63" s="222">
        <f>COUNTIF(A53:A59,"2024")</f>
        <v>1</v>
      </c>
      <c r="B63" s="296" t="s">
        <v>86</v>
      </c>
      <c r="C63" s="205"/>
      <c r="D63" s="205"/>
      <c r="E63" s="205"/>
      <c r="F63" s="205"/>
      <c r="G63" s="205"/>
      <c r="H63" s="212"/>
      <c r="I63" s="205"/>
      <c r="J63" s="205"/>
      <c r="K63" s="293"/>
      <c r="L63" s="205"/>
      <c r="M63" s="205"/>
      <c r="N63" s="205"/>
      <c r="O63" s="205"/>
      <c r="P63" s="205"/>
      <c r="Q63" s="206"/>
      <c r="R63" s="206"/>
      <c r="S63" s="205"/>
      <c r="T63" s="205"/>
      <c r="U63" s="205"/>
      <c r="V63" s="205"/>
      <c r="W63" s="205"/>
      <c r="X63" s="205"/>
      <c r="Y63" s="205"/>
      <c r="Z63" s="205"/>
      <c r="AA63" s="206"/>
      <c r="AB63" s="205"/>
      <c r="AC63" s="206"/>
      <c r="AD63" s="218"/>
      <c r="AE63" s="205"/>
      <c r="AF63" s="205"/>
      <c r="AG63" s="205"/>
      <c r="AH63" s="205"/>
      <c r="AI63" s="205"/>
      <c r="AJ63" s="205"/>
      <c r="AK63" s="205"/>
      <c r="AL63" s="205"/>
      <c r="AM63" s="205"/>
      <c r="AN63" s="205"/>
      <c r="AO63" s="205"/>
      <c r="AP63" s="205"/>
      <c r="AQ63" s="205"/>
      <c r="AR63" s="205"/>
      <c r="AS63" s="206"/>
      <c r="AT63" s="218"/>
      <c r="AU63" s="205"/>
      <c r="AV63" s="206"/>
      <c r="AW63" s="218"/>
      <c r="AX63" s="218"/>
    </row>
    <row r="64" spans="1:56" ht="15.75" hidden="1" customHeight="1" outlineLevel="1" x14ac:dyDescent="0.3">
      <c r="A64" s="222">
        <f>COUNTIF(A53:A59,"2025")</f>
        <v>1</v>
      </c>
      <c r="B64" s="296" t="s">
        <v>87</v>
      </c>
      <c r="C64" s="205"/>
      <c r="D64" s="205"/>
      <c r="E64" s="205"/>
      <c r="F64" s="205"/>
      <c r="G64" s="205"/>
      <c r="H64" s="212"/>
      <c r="I64" s="205"/>
      <c r="J64" s="205"/>
      <c r="K64" s="297"/>
      <c r="L64" s="266"/>
      <c r="M64" s="205"/>
      <c r="N64" s="205"/>
      <c r="O64" s="205"/>
      <c r="P64" s="205"/>
      <c r="Q64" s="206"/>
      <c r="R64" s="206"/>
      <c r="S64" s="205"/>
      <c r="T64" s="205"/>
      <c r="U64" s="205"/>
      <c r="V64" s="205"/>
      <c r="W64" s="205"/>
      <c r="X64" s="205"/>
      <c r="Y64" s="205"/>
      <c r="Z64" s="205"/>
      <c r="AA64" s="206"/>
      <c r="AB64" s="205"/>
      <c r="AC64" s="206"/>
      <c r="AD64" s="218"/>
      <c r="AE64" s="205"/>
      <c r="AF64" s="205"/>
      <c r="AG64" s="205"/>
      <c r="AH64" s="205"/>
      <c r="AI64" s="205"/>
      <c r="AJ64" s="205"/>
      <c r="AK64" s="205"/>
      <c r="AL64" s="205"/>
      <c r="AM64" s="205"/>
      <c r="AN64" s="205"/>
      <c r="AO64" s="205"/>
      <c r="AP64" s="205"/>
      <c r="AQ64" s="205"/>
      <c r="AR64" s="205"/>
      <c r="AS64" s="206"/>
      <c r="AT64" s="218"/>
      <c r="AU64" s="205"/>
      <c r="AV64" s="206"/>
      <c r="AW64" s="218"/>
      <c r="AX64" s="218"/>
      <c r="AY64" s="266"/>
      <c r="AZ64" s="266"/>
      <c r="BA64" s="266"/>
      <c r="BB64" s="266"/>
      <c r="BC64" s="266"/>
      <c r="BD64" s="266"/>
    </row>
    <row r="65" spans="1:56" ht="15.75" hidden="1" customHeight="1" outlineLevel="1" x14ac:dyDescent="0.3">
      <c r="A65" s="222">
        <f>COUNTIF(A53:A59,"2026")</f>
        <v>4</v>
      </c>
      <c r="B65" s="296" t="s">
        <v>522</v>
      </c>
      <c r="C65" s="205"/>
      <c r="D65" s="205"/>
      <c r="E65" s="205"/>
      <c r="F65" s="205"/>
      <c r="G65" s="205"/>
      <c r="H65" s="212"/>
      <c r="I65" s="205"/>
      <c r="J65" s="205"/>
      <c r="K65" s="297"/>
      <c r="L65" s="266"/>
      <c r="M65" s="205"/>
      <c r="N65" s="205"/>
      <c r="O65" s="205"/>
      <c r="P65" s="205"/>
      <c r="Q65" s="206"/>
      <c r="R65" s="206"/>
      <c r="S65" s="205"/>
      <c r="T65" s="205"/>
      <c r="U65" s="205"/>
      <c r="V65" s="205"/>
      <c r="W65" s="205"/>
      <c r="X65" s="205"/>
      <c r="Y65" s="205"/>
      <c r="Z65" s="205"/>
      <c r="AA65" s="206"/>
      <c r="AB65" s="205"/>
      <c r="AC65" s="206"/>
      <c r="AD65" s="218"/>
      <c r="AE65" s="205"/>
      <c r="AF65" s="205"/>
      <c r="AG65" s="205"/>
      <c r="AH65" s="205"/>
      <c r="AI65" s="205"/>
      <c r="AJ65" s="205"/>
      <c r="AK65" s="205"/>
      <c r="AL65" s="205"/>
      <c r="AM65" s="205"/>
      <c r="AN65" s="205"/>
      <c r="AO65" s="205"/>
      <c r="AP65" s="205"/>
      <c r="AQ65" s="205"/>
      <c r="AR65" s="205"/>
      <c r="AS65" s="206"/>
      <c r="AT65" s="218"/>
      <c r="AU65" s="205"/>
      <c r="AV65" s="206"/>
      <c r="AW65" s="218"/>
      <c r="AX65" s="218"/>
      <c r="AY65" s="266"/>
      <c r="AZ65" s="266"/>
      <c r="BA65" s="266"/>
      <c r="BB65" s="266"/>
      <c r="BC65" s="266"/>
      <c r="BD65" s="266"/>
    </row>
    <row r="66" spans="1:56" collapsed="1" x14ac:dyDescent="0.3">
      <c r="A66" s="222"/>
      <c r="B66" s="222"/>
      <c r="C66" s="266"/>
      <c r="D66" s="266"/>
      <c r="E66" s="266"/>
      <c r="F66" s="266"/>
      <c r="G66" s="205"/>
      <c r="H66" s="212"/>
      <c r="I66" s="205"/>
      <c r="J66" s="205"/>
      <c r="K66" s="205"/>
      <c r="L66" s="205"/>
      <c r="M66" s="205"/>
      <c r="N66" s="205"/>
      <c r="O66" s="298"/>
      <c r="P66" s="205"/>
      <c r="Q66" s="206"/>
      <c r="R66" s="206"/>
      <c r="S66" s="194"/>
      <c r="T66" s="194"/>
    </row>
    <row r="67" spans="1:56" x14ac:dyDescent="0.3">
      <c r="A67" s="222"/>
      <c r="B67" s="222"/>
      <c r="C67" s="232" t="s">
        <v>148</v>
      </c>
      <c r="D67" s="368"/>
      <c r="E67" s="368"/>
      <c r="F67" s="368"/>
      <c r="G67" s="369"/>
      <c r="H67" s="235"/>
      <c r="I67" s="234"/>
      <c r="J67" s="234"/>
      <c r="K67" s="234"/>
      <c r="L67" s="234"/>
      <c r="M67" s="234"/>
      <c r="N67" s="234"/>
      <c r="O67" s="346"/>
      <c r="P67" s="234"/>
      <c r="Q67" s="236"/>
      <c r="R67" s="236"/>
      <c r="S67" s="368"/>
      <c r="T67" s="368"/>
      <c r="U67" s="234"/>
      <c r="V67" s="234"/>
      <c r="W67" s="234"/>
      <c r="X67" s="234"/>
      <c r="Y67" s="234"/>
      <c r="Z67" s="234"/>
      <c r="AA67" s="236"/>
      <c r="AB67" s="234"/>
      <c r="AC67" s="236"/>
      <c r="AD67" s="347"/>
      <c r="AE67" s="234"/>
      <c r="AF67" s="234"/>
      <c r="AG67" s="234"/>
      <c r="AH67" s="234"/>
      <c r="AI67" s="234"/>
      <c r="AJ67" s="234"/>
      <c r="AK67" s="234"/>
      <c r="AL67" s="234"/>
      <c r="AM67" s="234"/>
      <c r="AN67" s="234"/>
      <c r="AO67" s="234"/>
      <c r="AP67" s="234"/>
      <c r="AQ67" s="234"/>
      <c r="AR67" s="234"/>
      <c r="AS67" s="236"/>
      <c r="AT67" s="347"/>
      <c r="AU67" s="234"/>
      <c r="AV67" s="236"/>
      <c r="AW67" s="347"/>
      <c r="AX67" s="347"/>
    </row>
    <row r="68" spans="1:56" x14ac:dyDescent="0.3">
      <c r="A68" s="222">
        <v>2024</v>
      </c>
      <c r="B68" s="222"/>
      <c r="C68" s="370" t="s">
        <v>120</v>
      </c>
      <c r="D68" s="370" t="s">
        <v>121</v>
      </c>
      <c r="E68" s="370" t="s">
        <v>122</v>
      </c>
      <c r="F68" s="370" t="s">
        <v>117</v>
      </c>
      <c r="G68" s="371">
        <v>30000000</v>
      </c>
      <c r="H68" s="219" t="s">
        <v>42</v>
      </c>
      <c r="I68" s="211" t="s">
        <v>503</v>
      </c>
      <c r="J68" s="285" t="s">
        <v>42</v>
      </c>
      <c r="K68" s="219"/>
      <c r="L68" s="211" t="s">
        <v>48</v>
      </c>
      <c r="M68" s="211" t="s">
        <v>547</v>
      </c>
      <c r="N68" s="211" t="str">
        <f t="shared" ref="N68:N94" si="6">IF(L68="Broker","","Yes")</f>
        <v>Yes</v>
      </c>
      <c r="O68" s="372"/>
      <c r="P68" s="211"/>
      <c r="Q68" s="255"/>
      <c r="R68" s="255"/>
      <c r="S68" s="370"/>
      <c r="T68" s="370"/>
      <c r="U68" s="211"/>
      <c r="V68" s="211"/>
      <c r="W68" s="211"/>
      <c r="X68" s="211"/>
      <c r="Y68" s="211"/>
      <c r="Z68" s="211"/>
      <c r="AA68" s="255"/>
      <c r="AB68" s="211"/>
      <c r="AC68" s="255"/>
      <c r="AD68" s="210"/>
      <c r="AE68" s="258"/>
      <c r="AF68" s="258"/>
      <c r="AG68" s="258"/>
      <c r="AH68" s="258"/>
      <c r="AI68" s="258"/>
      <c r="AJ68" s="258"/>
      <c r="AK68" s="258"/>
      <c r="AL68" s="258"/>
      <c r="AM68" s="258"/>
      <c r="AN68" s="258"/>
      <c r="AO68" s="258"/>
      <c r="AP68" s="258"/>
      <c r="AQ68" s="211"/>
      <c r="AR68" s="211"/>
      <c r="AS68" s="255"/>
      <c r="AT68" s="210"/>
      <c r="AU68" s="211"/>
      <c r="AV68" s="255"/>
      <c r="AW68" s="210"/>
      <c r="AX68" s="210"/>
      <c r="AY68" s="266"/>
      <c r="AZ68" s="266"/>
      <c r="BA68" s="266"/>
      <c r="BB68" s="266"/>
      <c r="BC68" s="266"/>
      <c r="BD68" s="266"/>
    </row>
    <row r="69" spans="1:56" x14ac:dyDescent="0.3">
      <c r="A69" s="222">
        <v>2024</v>
      </c>
      <c r="B69" s="222"/>
      <c r="C69" s="370" t="s">
        <v>126</v>
      </c>
      <c r="D69" s="370" t="s">
        <v>127</v>
      </c>
      <c r="E69" s="370" t="s">
        <v>122</v>
      </c>
      <c r="F69" s="370" t="s">
        <v>117</v>
      </c>
      <c r="G69" s="371">
        <v>50000000</v>
      </c>
      <c r="H69" s="219" t="s">
        <v>42</v>
      </c>
      <c r="I69" s="211" t="s">
        <v>503</v>
      </c>
      <c r="J69" s="285">
        <v>700</v>
      </c>
      <c r="K69" s="219">
        <v>0.95</v>
      </c>
      <c r="L69" s="211" t="s">
        <v>32</v>
      </c>
      <c r="M69" s="211" t="s">
        <v>100</v>
      </c>
      <c r="N69" s="211" t="str">
        <f t="shared" si="6"/>
        <v/>
      </c>
      <c r="O69" s="372"/>
      <c r="P69" s="211"/>
      <c r="Q69" s="255"/>
      <c r="R69" s="255"/>
      <c r="S69" s="370"/>
      <c r="T69" s="370"/>
      <c r="U69" s="211"/>
      <c r="V69" s="211"/>
      <c r="W69" s="211"/>
      <c r="X69" s="211"/>
      <c r="Y69" s="211"/>
      <c r="Z69" s="211"/>
      <c r="AA69" s="255"/>
      <c r="AB69" s="211"/>
      <c r="AC69" s="255"/>
      <c r="AD69" s="210"/>
      <c r="AE69" s="258"/>
      <c r="AF69" s="258"/>
      <c r="AG69" s="258"/>
      <c r="AH69" s="258"/>
      <c r="AI69" s="258"/>
      <c r="AJ69" s="258"/>
      <c r="AK69" s="258"/>
      <c r="AL69" s="258"/>
      <c r="AM69" s="258"/>
      <c r="AN69" s="258"/>
      <c r="AO69" s="258"/>
      <c r="AP69" s="258"/>
      <c r="AQ69" s="211"/>
      <c r="AR69" s="211"/>
      <c r="AS69" s="255"/>
      <c r="AT69" s="210"/>
      <c r="AU69" s="211"/>
      <c r="AV69" s="255"/>
      <c r="AW69" s="210"/>
      <c r="AX69" s="210"/>
      <c r="AY69" s="266"/>
      <c r="AZ69" s="266"/>
      <c r="BA69" s="266"/>
      <c r="BB69" s="266"/>
      <c r="BC69" s="266"/>
      <c r="BD69" s="266"/>
    </row>
    <row r="70" spans="1:56" x14ac:dyDescent="0.3">
      <c r="A70" s="222">
        <v>2024</v>
      </c>
      <c r="B70" s="222"/>
      <c r="C70" s="370" t="s">
        <v>128</v>
      </c>
      <c r="D70" s="370" t="s">
        <v>129</v>
      </c>
      <c r="E70" s="370" t="s">
        <v>130</v>
      </c>
      <c r="F70" s="370" t="s">
        <v>117</v>
      </c>
      <c r="G70" s="371">
        <v>12000000</v>
      </c>
      <c r="H70" s="219" t="s">
        <v>42</v>
      </c>
      <c r="I70" s="211" t="s">
        <v>503</v>
      </c>
      <c r="J70" s="285"/>
      <c r="K70" s="219">
        <v>0.75</v>
      </c>
      <c r="L70" s="211" t="s">
        <v>32</v>
      </c>
      <c r="M70" s="211" t="s">
        <v>100</v>
      </c>
      <c r="N70" s="211" t="str">
        <f t="shared" si="6"/>
        <v/>
      </c>
      <c r="O70" s="372">
        <v>18.5</v>
      </c>
      <c r="P70" s="211"/>
      <c r="Q70" s="255"/>
      <c r="R70" s="255"/>
      <c r="S70" s="370" t="s">
        <v>131</v>
      </c>
      <c r="T70" s="370"/>
      <c r="U70" s="211"/>
      <c r="V70" s="211"/>
      <c r="W70" s="211"/>
      <c r="X70" s="211"/>
      <c r="Y70" s="211"/>
      <c r="Z70" s="211"/>
      <c r="AA70" s="255"/>
      <c r="AB70" s="211"/>
      <c r="AC70" s="255"/>
      <c r="AD70" s="210"/>
      <c r="AE70" s="258"/>
      <c r="AF70" s="258"/>
      <c r="AG70" s="258"/>
      <c r="AH70" s="258"/>
      <c r="AI70" s="258"/>
      <c r="AJ70" s="258"/>
      <c r="AK70" s="258"/>
      <c r="AL70" s="258"/>
      <c r="AM70" s="258"/>
      <c r="AN70" s="258"/>
      <c r="AO70" s="258"/>
      <c r="AP70" s="258"/>
      <c r="AQ70" s="211"/>
      <c r="AR70" s="211"/>
      <c r="AS70" s="255"/>
      <c r="AT70" s="210"/>
      <c r="AU70" s="211"/>
      <c r="AV70" s="255"/>
      <c r="AW70" s="210"/>
      <c r="AX70" s="210"/>
      <c r="AY70" s="266"/>
      <c r="AZ70" s="266"/>
      <c r="BA70" s="266"/>
      <c r="BB70" s="266"/>
      <c r="BC70" s="266"/>
      <c r="BD70" s="266"/>
    </row>
    <row r="71" spans="1:56" x14ac:dyDescent="0.3">
      <c r="A71" s="222">
        <v>2024</v>
      </c>
      <c r="B71" s="222"/>
      <c r="C71" s="370" t="s">
        <v>132</v>
      </c>
      <c r="D71" s="370" t="s">
        <v>133</v>
      </c>
      <c r="E71" s="370" t="s">
        <v>57</v>
      </c>
      <c r="F71" s="370" t="s">
        <v>117</v>
      </c>
      <c r="G71" s="371">
        <v>25000000</v>
      </c>
      <c r="H71" s="219" t="s">
        <v>42</v>
      </c>
      <c r="I71" s="211" t="s">
        <v>503</v>
      </c>
      <c r="J71" s="285"/>
      <c r="K71" s="219">
        <v>0.9</v>
      </c>
      <c r="L71" s="211" t="s">
        <v>32</v>
      </c>
      <c r="M71" s="211" t="s">
        <v>110</v>
      </c>
      <c r="N71" s="211" t="str">
        <f t="shared" si="6"/>
        <v/>
      </c>
      <c r="O71" s="372">
        <v>15.5</v>
      </c>
      <c r="P71" s="211"/>
      <c r="Q71" s="255"/>
      <c r="R71" s="255"/>
      <c r="S71" s="370" t="s">
        <v>134</v>
      </c>
      <c r="T71" s="370"/>
      <c r="U71" s="211"/>
      <c r="V71" s="211"/>
      <c r="W71" s="211"/>
      <c r="X71" s="211"/>
      <c r="Y71" s="211"/>
      <c r="Z71" s="211"/>
      <c r="AA71" s="255"/>
      <c r="AB71" s="211"/>
      <c r="AC71" s="255"/>
      <c r="AD71" s="210"/>
      <c r="AE71" s="258"/>
      <c r="AF71" s="258"/>
      <c r="AG71" s="258"/>
      <c r="AH71" s="258"/>
      <c r="AI71" s="258"/>
      <c r="AJ71" s="258"/>
      <c r="AK71" s="258"/>
      <c r="AL71" s="258"/>
      <c r="AM71" s="258"/>
      <c r="AN71" s="258"/>
      <c r="AO71" s="258"/>
      <c r="AP71" s="258"/>
      <c r="AQ71" s="211"/>
      <c r="AR71" s="211"/>
      <c r="AS71" s="255"/>
      <c r="AT71" s="210"/>
      <c r="AU71" s="211"/>
      <c r="AV71" s="255"/>
      <c r="AW71" s="210"/>
      <c r="AX71" s="210"/>
      <c r="AY71" s="266"/>
      <c r="AZ71" s="266"/>
      <c r="BA71" s="266"/>
      <c r="BB71" s="266"/>
      <c r="BC71" s="266"/>
    </row>
    <row r="72" spans="1:56" x14ac:dyDescent="0.3">
      <c r="A72" s="222">
        <v>2024</v>
      </c>
      <c r="B72" s="222" t="s">
        <v>35</v>
      </c>
      <c r="C72" s="370" t="s">
        <v>135</v>
      </c>
      <c r="D72" s="370" t="s">
        <v>136</v>
      </c>
      <c r="E72" s="370" t="s">
        <v>130</v>
      </c>
      <c r="F72" s="370" t="s">
        <v>148</v>
      </c>
      <c r="G72" s="371">
        <v>9000000</v>
      </c>
      <c r="H72" s="219" t="s">
        <v>42</v>
      </c>
      <c r="I72" s="211" t="s">
        <v>503</v>
      </c>
      <c r="J72" s="285">
        <v>100</v>
      </c>
      <c r="K72" s="219">
        <v>1</v>
      </c>
      <c r="L72" s="211" t="s">
        <v>48</v>
      </c>
      <c r="M72" s="211" t="s">
        <v>100</v>
      </c>
      <c r="N72" s="211" t="str">
        <f t="shared" si="6"/>
        <v>Yes</v>
      </c>
      <c r="O72" s="372"/>
      <c r="P72" s="211"/>
      <c r="Q72" s="255"/>
      <c r="R72" s="255"/>
      <c r="S72" s="370" t="s">
        <v>138</v>
      </c>
      <c r="T72" s="370"/>
      <c r="U72" s="211"/>
      <c r="V72" s="211"/>
      <c r="W72" s="211"/>
      <c r="X72" s="211"/>
      <c r="Y72" s="211"/>
      <c r="Z72" s="211"/>
      <c r="AA72" s="255"/>
      <c r="AB72" s="211"/>
      <c r="AC72" s="255"/>
      <c r="AD72" s="210"/>
      <c r="AE72" s="258"/>
      <c r="AF72" s="258"/>
      <c r="AG72" s="258"/>
      <c r="AH72" s="258"/>
      <c r="AI72" s="258"/>
      <c r="AJ72" s="258"/>
      <c r="AK72" s="258"/>
      <c r="AL72" s="258"/>
      <c r="AM72" s="258"/>
      <c r="AN72" s="258"/>
      <c r="AO72" s="258"/>
      <c r="AP72" s="258"/>
      <c r="AQ72" s="211"/>
      <c r="AR72" s="211"/>
      <c r="AS72" s="255"/>
      <c r="AT72" s="210"/>
      <c r="AU72" s="211"/>
      <c r="AV72" s="255"/>
      <c r="AW72" s="210"/>
      <c r="AX72" s="210"/>
      <c r="AY72" s="266"/>
      <c r="AZ72" s="266"/>
      <c r="BA72" s="266"/>
      <c r="BB72" s="266"/>
      <c r="BC72" s="266"/>
      <c r="BD72" s="266"/>
    </row>
    <row r="73" spans="1:56" x14ac:dyDescent="0.3">
      <c r="A73" s="222">
        <v>2024</v>
      </c>
      <c r="B73" s="222"/>
      <c r="C73" s="370" t="s">
        <v>139</v>
      </c>
      <c r="D73" s="370" t="s">
        <v>56</v>
      </c>
      <c r="E73" s="370" t="s">
        <v>57</v>
      </c>
      <c r="F73" s="370" t="s">
        <v>148</v>
      </c>
      <c r="G73" s="371">
        <v>35000000</v>
      </c>
      <c r="H73" s="219" t="s">
        <v>42</v>
      </c>
      <c r="I73" s="211" t="s">
        <v>503</v>
      </c>
      <c r="J73" s="285">
        <v>170</v>
      </c>
      <c r="K73" s="219">
        <v>1</v>
      </c>
      <c r="L73" s="211" t="s">
        <v>48</v>
      </c>
      <c r="M73" s="211" t="s">
        <v>100</v>
      </c>
      <c r="N73" s="211" t="str">
        <f t="shared" si="6"/>
        <v>Yes</v>
      </c>
      <c r="O73" s="372"/>
      <c r="P73" s="211"/>
      <c r="Q73" s="255"/>
      <c r="R73" s="255"/>
      <c r="S73" s="370" t="s">
        <v>140</v>
      </c>
      <c r="T73" s="370"/>
      <c r="U73" s="211"/>
      <c r="V73" s="211"/>
      <c r="W73" s="211"/>
      <c r="X73" s="211"/>
      <c r="Y73" s="211"/>
      <c r="Z73" s="211"/>
      <c r="AA73" s="255"/>
      <c r="AB73" s="211"/>
      <c r="AC73" s="255"/>
      <c r="AD73" s="210"/>
      <c r="AE73" s="258"/>
      <c r="AF73" s="258"/>
      <c r="AG73" s="258"/>
      <c r="AH73" s="258"/>
      <c r="AI73" s="258"/>
      <c r="AJ73" s="258"/>
      <c r="AK73" s="258"/>
      <c r="AL73" s="258"/>
      <c r="AM73" s="258"/>
      <c r="AN73" s="258"/>
      <c r="AO73" s="258"/>
      <c r="AP73" s="258"/>
      <c r="AQ73" s="211"/>
      <c r="AR73" s="211"/>
      <c r="AS73" s="255"/>
      <c r="AT73" s="210"/>
      <c r="AU73" s="211"/>
      <c r="AV73" s="255"/>
      <c r="AW73" s="210"/>
      <c r="AX73" s="210"/>
      <c r="AY73" s="266"/>
      <c r="AZ73" s="266"/>
      <c r="BA73" s="266"/>
      <c r="BB73" s="266"/>
      <c r="BC73" s="266"/>
      <c r="BD73" s="266"/>
    </row>
    <row r="74" spans="1:56" x14ac:dyDescent="0.3">
      <c r="A74" s="222">
        <v>2024</v>
      </c>
      <c r="B74" s="222" t="s">
        <v>35</v>
      </c>
      <c r="C74" s="370" t="s">
        <v>141</v>
      </c>
      <c r="D74" s="370" t="s">
        <v>129</v>
      </c>
      <c r="E74" s="370" t="s">
        <v>130</v>
      </c>
      <c r="F74" s="370" t="s">
        <v>148</v>
      </c>
      <c r="G74" s="371">
        <v>7500000</v>
      </c>
      <c r="H74" s="219" t="s">
        <v>42</v>
      </c>
      <c r="I74" s="211" t="s">
        <v>503</v>
      </c>
      <c r="J74" s="285">
        <v>319</v>
      </c>
      <c r="K74" s="219">
        <v>1</v>
      </c>
      <c r="L74" s="211" t="s">
        <v>48</v>
      </c>
      <c r="M74" s="211" t="s">
        <v>100</v>
      </c>
      <c r="N74" s="211" t="str">
        <f t="shared" si="6"/>
        <v>Yes</v>
      </c>
      <c r="O74" s="372"/>
      <c r="P74" s="211"/>
      <c r="Q74" s="255"/>
      <c r="R74" s="255"/>
      <c r="S74" s="370" t="s">
        <v>142</v>
      </c>
      <c r="T74" s="370"/>
      <c r="U74" s="211"/>
      <c r="V74" s="211"/>
      <c r="W74" s="211"/>
      <c r="X74" s="211"/>
      <c r="Y74" s="211"/>
      <c r="Z74" s="211"/>
      <c r="AA74" s="255"/>
      <c r="AB74" s="211"/>
      <c r="AC74" s="255"/>
      <c r="AD74" s="210"/>
      <c r="AE74" s="258"/>
      <c r="AF74" s="258"/>
      <c r="AG74" s="258"/>
      <c r="AH74" s="258"/>
      <c r="AI74" s="258"/>
      <c r="AJ74" s="258"/>
      <c r="AK74" s="258"/>
      <c r="AL74" s="258"/>
      <c r="AM74" s="258"/>
      <c r="AN74" s="258"/>
      <c r="AO74" s="258"/>
      <c r="AP74" s="258"/>
      <c r="AQ74" s="211"/>
      <c r="AR74" s="211"/>
      <c r="AS74" s="255"/>
      <c r="AT74" s="210"/>
      <c r="AU74" s="211"/>
      <c r="AV74" s="255"/>
      <c r="AW74" s="210"/>
      <c r="AX74" s="210"/>
      <c r="AY74" s="266"/>
      <c r="AZ74" s="266"/>
      <c r="BA74" s="266"/>
      <c r="BB74" s="266"/>
      <c r="BC74" s="266"/>
      <c r="BD74" s="266"/>
    </row>
    <row r="75" spans="1:56" x14ac:dyDescent="0.3">
      <c r="A75" s="222">
        <v>2024</v>
      </c>
      <c r="B75" s="222" t="s">
        <v>35</v>
      </c>
      <c r="C75" s="370" t="s">
        <v>143</v>
      </c>
      <c r="D75" s="373" t="s">
        <v>144</v>
      </c>
      <c r="E75" s="373" t="s">
        <v>31</v>
      </c>
      <c r="F75" s="370" t="s">
        <v>117</v>
      </c>
      <c r="G75" s="343">
        <v>18000000</v>
      </c>
      <c r="H75" s="219" t="s">
        <v>42</v>
      </c>
      <c r="I75" s="211" t="s">
        <v>503</v>
      </c>
      <c r="J75" s="285">
        <f>431+66</f>
        <v>497</v>
      </c>
      <c r="K75" s="219"/>
      <c r="L75" s="211" t="s">
        <v>48</v>
      </c>
      <c r="M75" s="343"/>
      <c r="N75" s="211" t="str">
        <f t="shared" si="6"/>
        <v>Yes</v>
      </c>
      <c r="O75" s="374" t="str">
        <f t="shared" ref="O75:O84" si="7">IFERROR(IF(AND(AND(M75&lt;&gt;"Market",M75&lt;&gt;"TBD"),N75&lt;&gt;"TBD"),N75/M75,""),"")</f>
        <v/>
      </c>
      <c r="S75" s="370" t="s">
        <v>145</v>
      </c>
      <c r="T75" s="370"/>
      <c r="U75" s="211"/>
      <c r="V75" s="211"/>
      <c r="W75" s="211"/>
      <c r="X75" s="211"/>
      <c r="Y75" s="211"/>
      <c r="Z75" s="211"/>
      <c r="AA75" s="255"/>
      <c r="AB75" s="211"/>
      <c r="AC75" s="255"/>
      <c r="AD75" s="210"/>
      <c r="AE75" s="258"/>
      <c r="AF75" s="258"/>
      <c r="AG75" s="258"/>
      <c r="AH75" s="258"/>
      <c r="AI75" s="258"/>
      <c r="AJ75" s="258"/>
      <c r="AK75" s="258"/>
      <c r="AL75" s="258"/>
      <c r="AM75" s="258"/>
      <c r="AN75" s="258"/>
      <c r="AO75" s="258"/>
      <c r="AP75" s="258"/>
      <c r="AQ75" s="211"/>
      <c r="AR75" s="211"/>
      <c r="AS75" s="255"/>
      <c r="AT75" s="210"/>
      <c r="AU75" s="211"/>
      <c r="AV75" s="255"/>
      <c r="AW75" s="210"/>
      <c r="AX75" s="210"/>
      <c r="AY75" s="266"/>
      <c r="AZ75" s="266"/>
      <c r="BA75" s="266"/>
      <c r="BB75" s="266"/>
      <c r="BC75" s="266"/>
    </row>
    <row r="76" spans="1:56" x14ac:dyDescent="0.3">
      <c r="A76" s="222">
        <v>2024</v>
      </c>
      <c r="B76" s="222"/>
      <c r="C76" s="370" t="s">
        <v>146</v>
      </c>
      <c r="D76" s="373" t="s">
        <v>147</v>
      </c>
      <c r="E76" s="373" t="s">
        <v>115</v>
      </c>
      <c r="F76" s="370" t="s">
        <v>117</v>
      </c>
      <c r="G76" s="343" t="s">
        <v>42</v>
      </c>
      <c r="H76" s="219" t="s">
        <v>42</v>
      </c>
      <c r="I76" s="211" t="s">
        <v>503</v>
      </c>
      <c r="J76" s="285">
        <v>205</v>
      </c>
      <c r="K76" s="219"/>
      <c r="L76" s="211" t="s">
        <v>48</v>
      </c>
      <c r="M76" s="343"/>
      <c r="N76" s="211" t="str">
        <f t="shared" si="6"/>
        <v>Yes</v>
      </c>
      <c r="O76" s="374" t="str">
        <f t="shared" si="7"/>
        <v/>
      </c>
      <c r="S76" s="370" t="s">
        <v>149</v>
      </c>
      <c r="T76" s="370"/>
      <c r="U76" s="211"/>
      <c r="V76" s="211"/>
      <c r="W76" s="211"/>
      <c r="X76" s="211"/>
      <c r="Y76" s="211"/>
      <c r="Z76" s="211"/>
      <c r="AA76" s="255"/>
      <c r="AB76" s="211"/>
      <c r="AC76" s="255"/>
      <c r="AD76" s="210"/>
      <c r="AE76" s="258"/>
      <c r="AF76" s="258"/>
      <c r="AG76" s="258"/>
      <c r="AH76" s="258"/>
      <c r="AI76" s="258"/>
      <c r="AJ76" s="258"/>
      <c r="AK76" s="258"/>
      <c r="AL76" s="258"/>
      <c r="AM76" s="258"/>
      <c r="AN76" s="258"/>
      <c r="AO76" s="258"/>
      <c r="AP76" s="258"/>
      <c r="AQ76" s="211"/>
      <c r="AR76" s="211"/>
      <c r="AS76" s="255"/>
      <c r="AT76" s="210"/>
      <c r="AU76" s="211"/>
      <c r="AV76" s="255"/>
      <c r="AW76" s="210"/>
      <c r="AX76" s="210"/>
      <c r="AY76" s="266"/>
      <c r="AZ76" s="266"/>
      <c r="BA76" s="266"/>
      <c r="BB76" s="266"/>
      <c r="BC76" s="266"/>
    </row>
    <row r="77" spans="1:56" x14ac:dyDescent="0.3">
      <c r="A77" s="222">
        <v>2024</v>
      </c>
      <c r="B77" s="222"/>
      <c r="C77" s="370" t="s">
        <v>150</v>
      </c>
      <c r="D77" s="373" t="s">
        <v>47</v>
      </c>
      <c r="E77" s="373" t="s">
        <v>31</v>
      </c>
      <c r="F77" s="370" t="s">
        <v>117</v>
      </c>
      <c r="G77" s="343" t="s">
        <v>42</v>
      </c>
      <c r="H77" s="219" t="s">
        <v>42</v>
      </c>
      <c r="I77" s="211" t="s">
        <v>503</v>
      </c>
      <c r="J77" s="285"/>
      <c r="K77" s="219"/>
      <c r="L77" s="211" t="s">
        <v>48</v>
      </c>
      <c r="M77" s="343"/>
      <c r="N77" s="211" t="str">
        <f t="shared" si="6"/>
        <v>Yes</v>
      </c>
      <c r="O77" s="374" t="str">
        <f t="shared" si="7"/>
        <v/>
      </c>
      <c r="S77" s="370"/>
      <c r="T77" s="370"/>
      <c r="U77" s="211"/>
      <c r="V77" s="211"/>
      <c r="W77" s="211"/>
      <c r="X77" s="211"/>
      <c r="Y77" s="211"/>
      <c r="Z77" s="211"/>
      <c r="AA77" s="255"/>
      <c r="AB77" s="211"/>
      <c r="AC77" s="255"/>
      <c r="AD77" s="210"/>
      <c r="AE77" s="258"/>
      <c r="AF77" s="258"/>
      <c r="AG77" s="258"/>
      <c r="AH77" s="258"/>
      <c r="AI77" s="258"/>
      <c r="AJ77" s="258"/>
      <c r="AK77" s="258"/>
      <c r="AL77" s="258"/>
      <c r="AM77" s="258"/>
      <c r="AN77" s="258"/>
      <c r="AO77" s="258"/>
      <c r="AP77" s="258"/>
      <c r="AQ77" s="211"/>
      <c r="AR77" s="211"/>
      <c r="AS77" s="255"/>
      <c r="AT77" s="210"/>
      <c r="AU77" s="211"/>
      <c r="AV77" s="255"/>
      <c r="AW77" s="210"/>
      <c r="AX77" s="210"/>
      <c r="AY77" s="266"/>
      <c r="AZ77" s="266"/>
      <c r="BA77" s="266"/>
      <c r="BB77" s="266"/>
      <c r="BC77" s="266"/>
    </row>
    <row r="78" spans="1:56" x14ac:dyDescent="0.3">
      <c r="A78" s="222">
        <v>2023</v>
      </c>
      <c r="B78" s="222" t="s">
        <v>35</v>
      </c>
      <c r="C78" s="370" t="s">
        <v>158</v>
      </c>
      <c r="D78" s="373" t="s">
        <v>159</v>
      </c>
      <c r="E78" s="373" t="s">
        <v>57</v>
      </c>
      <c r="F78" s="370" t="s">
        <v>117</v>
      </c>
      <c r="G78" s="375">
        <v>15000000</v>
      </c>
      <c r="H78" s="219" t="s">
        <v>42</v>
      </c>
      <c r="I78" s="211" t="s">
        <v>503</v>
      </c>
      <c r="J78" s="285">
        <v>471</v>
      </c>
      <c r="K78" s="219"/>
      <c r="L78" s="211" t="s">
        <v>48</v>
      </c>
      <c r="M78" s="375"/>
      <c r="N78" s="211" t="str">
        <f t="shared" si="6"/>
        <v>Yes</v>
      </c>
      <c r="O78" s="374" t="str">
        <f t="shared" si="7"/>
        <v/>
      </c>
      <c r="S78" s="370" t="s">
        <v>160</v>
      </c>
      <c r="T78" s="370"/>
      <c r="U78" s="211"/>
      <c r="V78" s="211"/>
      <c r="W78" s="211"/>
      <c r="X78" s="211"/>
      <c r="Y78" s="211"/>
      <c r="Z78" s="211"/>
      <c r="AA78" s="255"/>
      <c r="AB78" s="211"/>
      <c r="AC78" s="255"/>
      <c r="AD78" s="210"/>
      <c r="AE78" s="258"/>
      <c r="AF78" s="258"/>
      <c r="AG78" s="258"/>
      <c r="AH78" s="258"/>
      <c r="AI78" s="258"/>
      <c r="AJ78" s="258"/>
      <c r="AK78" s="258"/>
      <c r="AL78" s="258"/>
      <c r="AM78" s="258"/>
      <c r="AN78" s="258"/>
      <c r="AO78" s="258"/>
      <c r="AP78" s="258"/>
      <c r="AQ78" s="211"/>
      <c r="AR78" s="211"/>
      <c r="AS78" s="255"/>
      <c r="AT78" s="210"/>
      <c r="AU78" s="211"/>
      <c r="AV78" s="255"/>
      <c r="AW78" s="210"/>
      <c r="AX78" s="210"/>
      <c r="AY78" s="266"/>
      <c r="AZ78" s="266"/>
      <c r="BA78" s="266"/>
      <c r="BB78" s="266"/>
      <c r="BC78" s="266"/>
    </row>
    <row r="79" spans="1:56" x14ac:dyDescent="0.3">
      <c r="A79" s="222">
        <v>2024</v>
      </c>
      <c r="B79" s="222" t="s">
        <v>35</v>
      </c>
      <c r="C79" s="370" t="s">
        <v>166</v>
      </c>
      <c r="D79" s="373" t="s">
        <v>38</v>
      </c>
      <c r="E79" s="373" t="s">
        <v>31</v>
      </c>
      <c r="F79" s="370" t="s">
        <v>117</v>
      </c>
      <c r="G79" s="375">
        <v>20000000</v>
      </c>
      <c r="H79" s="219" t="s">
        <v>42</v>
      </c>
      <c r="I79" s="211" t="s">
        <v>503</v>
      </c>
      <c r="J79" s="285">
        <v>200</v>
      </c>
      <c r="K79" s="219"/>
      <c r="L79" s="211" t="s">
        <v>48</v>
      </c>
      <c r="M79" s="375"/>
      <c r="N79" s="211" t="str">
        <f t="shared" si="6"/>
        <v>Yes</v>
      </c>
      <c r="O79" s="374" t="str">
        <f t="shared" si="7"/>
        <v/>
      </c>
      <c r="S79" s="370"/>
      <c r="T79" s="370"/>
      <c r="U79" s="211"/>
      <c r="V79" s="211"/>
      <c r="W79" s="211"/>
      <c r="X79" s="211"/>
      <c r="Y79" s="211"/>
      <c r="Z79" s="211"/>
      <c r="AA79" s="255"/>
      <c r="AB79" s="211"/>
      <c r="AC79" s="255"/>
      <c r="AD79" s="210"/>
      <c r="AE79" s="258"/>
      <c r="AF79" s="258"/>
      <c r="AG79" s="258"/>
      <c r="AH79" s="258"/>
      <c r="AI79" s="258"/>
      <c r="AJ79" s="258"/>
      <c r="AK79" s="258"/>
      <c r="AL79" s="258"/>
      <c r="AM79" s="258"/>
      <c r="AN79" s="258"/>
      <c r="AO79" s="258"/>
      <c r="AP79" s="258"/>
      <c r="AQ79" s="211"/>
      <c r="AR79" s="211"/>
      <c r="AS79" s="255"/>
      <c r="AT79" s="210"/>
      <c r="AU79" s="211"/>
      <c r="AV79" s="255"/>
      <c r="AW79" s="210"/>
      <c r="AX79" s="210"/>
      <c r="AY79" s="266"/>
      <c r="AZ79" s="266"/>
      <c r="BA79" s="266"/>
      <c r="BB79" s="266"/>
      <c r="BC79" s="266"/>
    </row>
    <row r="80" spans="1:56" x14ac:dyDescent="0.3">
      <c r="A80" s="222">
        <v>2024</v>
      </c>
      <c r="B80" s="222"/>
      <c r="C80" s="370" t="s">
        <v>167</v>
      </c>
      <c r="D80" s="373" t="s">
        <v>168</v>
      </c>
      <c r="E80" s="373" t="s">
        <v>53</v>
      </c>
      <c r="F80" s="370" t="s">
        <v>117</v>
      </c>
      <c r="G80" s="343" t="s">
        <v>42</v>
      </c>
      <c r="H80" s="219" t="s">
        <v>42</v>
      </c>
      <c r="I80" s="211" t="s">
        <v>503</v>
      </c>
      <c r="J80" s="285">
        <v>500</v>
      </c>
      <c r="K80" s="219"/>
      <c r="L80" s="211" t="s">
        <v>48</v>
      </c>
      <c r="M80" s="343"/>
      <c r="N80" s="211" t="str">
        <f t="shared" si="6"/>
        <v>Yes</v>
      </c>
      <c r="O80" s="374" t="str">
        <f t="shared" si="7"/>
        <v/>
      </c>
      <c r="S80" s="370"/>
      <c r="T80" s="370"/>
      <c r="U80" s="211"/>
      <c r="V80" s="211"/>
      <c r="W80" s="211"/>
      <c r="X80" s="211"/>
      <c r="Y80" s="211"/>
      <c r="Z80" s="211"/>
      <c r="AA80" s="255"/>
      <c r="AB80" s="211"/>
      <c r="AC80" s="255"/>
      <c r="AD80" s="210"/>
      <c r="AE80" s="258"/>
      <c r="AF80" s="258"/>
      <c r="AG80" s="258"/>
      <c r="AH80" s="258"/>
      <c r="AI80" s="258"/>
      <c r="AJ80" s="258"/>
      <c r="AK80" s="258"/>
      <c r="AL80" s="258"/>
      <c r="AM80" s="258"/>
      <c r="AN80" s="258"/>
      <c r="AO80" s="258"/>
      <c r="AP80" s="258"/>
      <c r="AQ80" s="211"/>
      <c r="AR80" s="211"/>
      <c r="AS80" s="255"/>
      <c r="AT80" s="210"/>
      <c r="AU80" s="211"/>
      <c r="AV80" s="255"/>
      <c r="AW80" s="210"/>
      <c r="AX80" s="210"/>
      <c r="AY80" s="266"/>
      <c r="AZ80" s="266"/>
      <c r="BA80" s="266"/>
      <c r="BB80" s="266"/>
      <c r="BC80" s="266"/>
    </row>
    <row r="81" spans="1:56" x14ac:dyDescent="0.3">
      <c r="A81" s="222">
        <v>2023</v>
      </c>
      <c r="B81" s="222" t="s">
        <v>35</v>
      </c>
      <c r="C81" s="370" t="s">
        <v>170</v>
      </c>
      <c r="D81" s="373" t="s">
        <v>168</v>
      </c>
      <c r="E81" s="373" t="s">
        <v>53</v>
      </c>
      <c r="F81" s="370" t="s">
        <v>117</v>
      </c>
      <c r="G81" s="343">
        <v>24000000</v>
      </c>
      <c r="H81" s="219" t="s">
        <v>42</v>
      </c>
      <c r="I81" s="211" t="s">
        <v>503</v>
      </c>
      <c r="J81" s="285">
        <v>250</v>
      </c>
      <c r="K81" s="219"/>
      <c r="L81" s="211" t="s">
        <v>48</v>
      </c>
      <c r="M81" s="343"/>
      <c r="N81" s="211" t="str">
        <f t="shared" si="6"/>
        <v>Yes</v>
      </c>
      <c r="O81" s="374" t="str">
        <f t="shared" si="7"/>
        <v/>
      </c>
      <c r="S81" s="370" t="s">
        <v>171</v>
      </c>
      <c r="T81" s="370"/>
      <c r="U81" s="211"/>
      <c r="V81" s="211"/>
      <c r="W81" s="211"/>
      <c r="X81" s="211"/>
      <c r="Y81" s="211"/>
      <c r="Z81" s="211"/>
      <c r="AA81" s="255"/>
      <c r="AB81" s="211"/>
      <c r="AC81" s="255"/>
      <c r="AD81" s="210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58"/>
      <c r="AP81" s="258"/>
      <c r="AQ81" s="211"/>
      <c r="AR81" s="211"/>
      <c r="AS81" s="255"/>
      <c r="AT81" s="210"/>
      <c r="AU81" s="211"/>
      <c r="AV81" s="255"/>
      <c r="AW81" s="210"/>
      <c r="AX81" s="210"/>
      <c r="AY81" s="266"/>
      <c r="AZ81" s="266"/>
      <c r="BA81" s="266"/>
      <c r="BB81" s="266"/>
      <c r="BC81" s="266"/>
    </row>
    <row r="82" spans="1:56" x14ac:dyDescent="0.3">
      <c r="A82" s="222">
        <v>2024</v>
      </c>
      <c r="B82" s="222"/>
      <c r="C82" s="370" t="s">
        <v>172</v>
      </c>
      <c r="D82" s="373" t="s">
        <v>173</v>
      </c>
      <c r="E82" s="373" t="s">
        <v>75</v>
      </c>
      <c r="F82" s="370" t="s">
        <v>117</v>
      </c>
      <c r="G82" s="343" t="s">
        <v>42</v>
      </c>
      <c r="H82" s="219" t="s">
        <v>42</v>
      </c>
      <c r="I82" s="211" t="s">
        <v>503</v>
      </c>
      <c r="J82" s="285" t="s">
        <v>174</v>
      </c>
      <c r="K82" s="219"/>
      <c r="L82" s="211" t="s">
        <v>48</v>
      </c>
      <c r="M82" s="343"/>
      <c r="N82" s="211" t="str">
        <f t="shared" si="6"/>
        <v>Yes</v>
      </c>
      <c r="O82" s="374" t="str">
        <f t="shared" si="7"/>
        <v/>
      </c>
      <c r="S82" s="370"/>
      <c r="T82" s="370"/>
      <c r="U82" s="211"/>
      <c r="V82" s="211"/>
      <c r="W82" s="211"/>
      <c r="X82" s="211"/>
      <c r="Y82" s="211"/>
      <c r="Z82" s="211"/>
      <c r="AA82" s="255"/>
      <c r="AB82" s="211"/>
      <c r="AC82" s="255"/>
      <c r="AD82" s="210"/>
      <c r="AE82" s="258"/>
      <c r="AF82" s="258"/>
      <c r="AG82" s="258"/>
      <c r="AH82" s="258"/>
      <c r="AI82" s="258"/>
      <c r="AJ82" s="258"/>
      <c r="AK82" s="258"/>
      <c r="AL82" s="258"/>
      <c r="AM82" s="258"/>
      <c r="AN82" s="258"/>
      <c r="AO82" s="258"/>
      <c r="AP82" s="258"/>
      <c r="AQ82" s="211"/>
      <c r="AR82" s="211"/>
      <c r="AS82" s="255"/>
      <c r="AT82" s="210"/>
      <c r="AU82" s="211"/>
      <c r="AV82" s="255"/>
      <c r="AW82" s="210"/>
      <c r="AX82" s="210"/>
      <c r="AY82" s="266"/>
      <c r="AZ82" s="266"/>
      <c r="BA82" s="266"/>
      <c r="BB82" s="266"/>
      <c r="BC82" s="266"/>
    </row>
    <row r="83" spans="1:56" x14ac:dyDescent="0.3">
      <c r="A83" s="222">
        <v>2024</v>
      </c>
      <c r="B83" s="222" t="s">
        <v>35</v>
      </c>
      <c r="C83" s="370" t="s">
        <v>178</v>
      </c>
      <c r="D83" s="373" t="s">
        <v>179</v>
      </c>
      <c r="E83" s="373" t="s">
        <v>72</v>
      </c>
      <c r="F83" s="370" t="s">
        <v>117</v>
      </c>
      <c r="G83" s="375" t="s">
        <v>42</v>
      </c>
      <c r="H83" s="219" t="s">
        <v>42</v>
      </c>
      <c r="I83" s="211" t="s">
        <v>503</v>
      </c>
      <c r="J83" s="285">
        <v>163</v>
      </c>
      <c r="K83" s="219"/>
      <c r="L83" s="211" t="s">
        <v>32</v>
      </c>
      <c r="M83" s="375"/>
      <c r="N83" s="211" t="str">
        <f t="shared" si="6"/>
        <v/>
      </c>
      <c r="O83" s="374" t="str">
        <f t="shared" si="7"/>
        <v/>
      </c>
      <c r="S83" s="370" t="s">
        <v>180</v>
      </c>
      <c r="T83" s="370"/>
      <c r="U83" s="211"/>
      <c r="V83" s="211"/>
      <c r="W83" s="211"/>
      <c r="X83" s="211"/>
      <c r="Y83" s="211"/>
      <c r="Z83" s="211"/>
      <c r="AA83" s="255"/>
      <c r="AB83" s="211"/>
      <c r="AC83" s="255"/>
      <c r="AD83" s="210"/>
      <c r="AE83" s="258"/>
      <c r="AF83" s="258"/>
      <c r="AG83" s="258"/>
      <c r="AH83" s="258"/>
      <c r="AI83" s="258"/>
      <c r="AJ83" s="258"/>
      <c r="AK83" s="258"/>
      <c r="AL83" s="258"/>
      <c r="AM83" s="258"/>
      <c r="AN83" s="258"/>
      <c r="AO83" s="258"/>
      <c r="AP83" s="258"/>
      <c r="AQ83" s="211"/>
      <c r="AR83" s="211"/>
      <c r="AS83" s="255"/>
      <c r="AT83" s="210"/>
      <c r="AU83" s="211"/>
      <c r="AV83" s="255"/>
      <c r="AW83" s="210"/>
      <c r="AX83" s="210"/>
      <c r="AY83" s="266"/>
      <c r="AZ83" s="266"/>
      <c r="BA83" s="266"/>
      <c r="BB83" s="266"/>
      <c r="BC83" s="266"/>
    </row>
    <row r="84" spans="1:56" x14ac:dyDescent="0.3">
      <c r="A84" s="222">
        <v>2024</v>
      </c>
      <c r="B84" s="222" t="s">
        <v>35</v>
      </c>
      <c r="C84" s="370" t="s">
        <v>181</v>
      </c>
      <c r="D84" s="373" t="s">
        <v>182</v>
      </c>
      <c r="E84" s="373" t="s">
        <v>115</v>
      </c>
      <c r="F84" s="370" t="s">
        <v>117</v>
      </c>
      <c r="G84" s="343">
        <v>27000000</v>
      </c>
      <c r="H84" s="219" t="s">
        <v>42</v>
      </c>
      <c r="I84" s="211" t="s">
        <v>503</v>
      </c>
      <c r="J84" s="285">
        <v>165</v>
      </c>
      <c r="K84" s="219"/>
      <c r="L84" s="211" t="s">
        <v>48</v>
      </c>
      <c r="M84" s="343"/>
      <c r="N84" s="211" t="str">
        <f t="shared" si="6"/>
        <v>Yes</v>
      </c>
      <c r="O84" s="374" t="str">
        <f t="shared" si="7"/>
        <v/>
      </c>
      <c r="S84" s="370" t="s">
        <v>183</v>
      </c>
      <c r="T84" s="370"/>
      <c r="U84" s="211"/>
      <c r="V84" s="211"/>
      <c r="W84" s="211"/>
      <c r="X84" s="211"/>
      <c r="Y84" s="211"/>
      <c r="Z84" s="211"/>
      <c r="AA84" s="255"/>
      <c r="AB84" s="211"/>
      <c r="AC84" s="255"/>
      <c r="AD84" s="210"/>
      <c r="AE84" s="258"/>
      <c r="AF84" s="258"/>
      <c r="AG84" s="258"/>
      <c r="AH84" s="258"/>
      <c r="AI84" s="258"/>
      <c r="AJ84" s="258"/>
      <c r="AK84" s="258"/>
      <c r="AL84" s="258"/>
      <c r="AM84" s="258"/>
      <c r="AN84" s="258"/>
      <c r="AO84" s="258"/>
      <c r="AP84" s="258"/>
      <c r="AQ84" s="211"/>
      <c r="AR84" s="211"/>
      <c r="AS84" s="255"/>
      <c r="AT84" s="210"/>
      <c r="AU84" s="211"/>
      <c r="AV84" s="255"/>
      <c r="AW84" s="210"/>
      <c r="AX84" s="210"/>
      <c r="AY84" s="266"/>
      <c r="AZ84" s="266"/>
      <c r="BA84" s="266"/>
      <c r="BB84" s="266"/>
      <c r="BC84" s="266"/>
      <c r="BD84" s="266"/>
    </row>
    <row r="85" spans="1:56" x14ac:dyDescent="0.3">
      <c r="A85" s="222">
        <v>2023</v>
      </c>
      <c r="B85" s="222"/>
      <c r="C85" s="370" t="s">
        <v>551</v>
      </c>
      <c r="D85" s="370" t="s">
        <v>552</v>
      </c>
      <c r="E85" s="370" t="s">
        <v>426</v>
      </c>
      <c r="F85" s="370" t="s">
        <v>117</v>
      </c>
      <c r="G85" s="371">
        <v>16500000</v>
      </c>
      <c r="H85" s="219" t="s">
        <v>42</v>
      </c>
      <c r="I85" s="211" t="s">
        <v>503</v>
      </c>
      <c r="J85" s="285"/>
      <c r="K85" s="219">
        <v>1</v>
      </c>
      <c r="L85" s="211" t="s">
        <v>48</v>
      </c>
      <c r="M85" s="211" t="s">
        <v>553</v>
      </c>
      <c r="N85" s="211" t="str">
        <f t="shared" si="6"/>
        <v>Yes</v>
      </c>
      <c r="O85" s="372"/>
      <c r="P85" s="211"/>
      <c r="Q85" s="255"/>
      <c r="R85" s="255"/>
      <c r="S85" s="370"/>
      <c r="T85" s="370"/>
      <c r="U85" s="211"/>
      <c r="V85" s="211"/>
      <c r="W85" s="211"/>
      <c r="X85" s="211"/>
      <c r="Y85" s="211"/>
      <c r="Z85" s="211"/>
      <c r="AA85" s="255"/>
      <c r="AB85" s="211"/>
      <c r="AC85" s="255"/>
      <c r="AD85" s="210"/>
      <c r="AE85" s="258"/>
      <c r="AF85" s="258"/>
      <c r="AG85" s="258"/>
      <c r="AH85" s="258"/>
      <c r="AI85" s="258"/>
      <c r="AJ85" s="258"/>
      <c r="AK85" s="258"/>
      <c r="AL85" s="258"/>
      <c r="AM85" s="258"/>
      <c r="AN85" s="258"/>
      <c r="AO85" s="258"/>
      <c r="AP85" s="258"/>
      <c r="AQ85" s="211"/>
      <c r="AR85" s="211"/>
      <c r="AS85" s="255"/>
      <c r="AT85" s="210"/>
      <c r="AU85" s="211"/>
      <c r="AV85" s="255"/>
      <c r="AW85" s="210"/>
      <c r="AX85" s="210"/>
    </row>
    <row r="86" spans="1:56" x14ac:dyDescent="0.3">
      <c r="A86" s="222">
        <v>2023</v>
      </c>
      <c r="B86" s="222"/>
      <c r="C86" s="370" t="s">
        <v>554</v>
      </c>
      <c r="D86" s="370" t="s">
        <v>555</v>
      </c>
      <c r="E86" s="370" t="s">
        <v>299</v>
      </c>
      <c r="F86" s="370" t="s">
        <v>117</v>
      </c>
      <c r="G86" s="371">
        <v>27000000</v>
      </c>
      <c r="H86" s="219" t="s">
        <v>42</v>
      </c>
      <c r="I86" s="211" t="s">
        <v>556</v>
      </c>
      <c r="J86" s="285"/>
      <c r="K86" s="219">
        <v>0.95</v>
      </c>
      <c r="L86" s="211" t="s">
        <v>48</v>
      </c>
      <c r="M86" s="211" t="s">
        <v>547</v>
      </c>
      <c r="N86" s="211" t="str">
        <f t="shared" si="6"/>
        <v>Yes</v>
      </c>
      <c r="O86" s="372">
        <v>80</v>
      </c>
      <c r="P86" s="211"/>
      <c r="Q86" s="255"/>
      <c r="R86" s="255"/>
      <c r="S86" s="370"/>
      <c r="T86" s="370"/>
      <c r="U86" s="211"/>
      <c r="V86" s="211"/>
      <c r="W86" s="211"/>
      <c r="X86" s="211"/>
      <c r="Y86" s="211"/>
      <c r="Z86" s="211"/>
      <c r="AA86" s="255"/>
      <c r="AB86" s="211"/>
      <c r="AC86" s="255"/>
      <c r="AD86" s="210"/>
      <c r="AE86" s="258"/>
      <c r="AF86" s="258"/>
      <c r="AG86" s="258"/>
      <c r="AH86" s="258"/>
      <c r="AI86" s="258"/>
      <c r="AJ86" s="258"/>
      <c r="AK86" s="258"/>
      <c r="AL86" s="258"/>
      <c r="AM86" s="258"/>
      <c r="AN86" s="258"/>
      <c r="AO86" s="258"/>
      <c r="AP86" s="258"/>
      <c r="AQ86" s="211"/>
      <c r="AR86" s="211"/>
      <c r="AS86" s="255"/>
      <c r="AT86" s="210"/>
      <c r="AU86" s="211"/>
      <c r="AV86" s="255"/>
      <c r="AW86" s="210"/>
      <c r="AX86" s="210"/>
    </row>
    <row r="87" spans="1:56" x14ac:dyDescent="0.3">
      <c r="A87" s="222">
        <v>2023</v>
      </c>
      <c r="B87" s="222"/>
      <c r="C87" s="370" t="s">
        <v>557</v>
      </c>
      <c r="D87" s="370" t="s">
        <v>558</v>
      </c>
      <c r="E87" s="370" t="s">
        <v>559</v>
      </c>
      <c r="F87" s="370" t="s">
        <v>117</v>
      </c>
      <c r="G87" s="371">
        <v>17000000</v>
      </c>
      <c r="H87" s="219" t="s">
        <v>42</v>
      </c>
      <c r="I87" s="211" t="s">
        <v>503</v>
      </c>
      <c r="J87" s="285"/>
      <c r="K87" s="219">
        <v>1</v>
      </c>
      <c r="L87" s="211" t="s">
        <v>48</v>
      </c>
      <c r="M87" s="211" t="s">
        <v>100</v>
      </c>
      <c r="N87" s="211" t="str">
        <f t="shared" si="6"/>
        <v>Yes</v>
      </c>
      <c r="O87" s="372">
        <v>21.5</v>
      </c>
      <c r="P87" s="211"/>
      <c r="Q87" s="255"/>
      <c r="R87" s="255"/>
      <c r="S87" s="370"/>
      <c r="T87" s="370"/>
      <c r="U87" s="211"/>
      <c r="V87" s="211"/>
      <c r="W87" s="211"/>
      <c r="X87" s="211"/>
      <c r="Y87" s="211"/>
      <c r="Z87" s="211"/>
      <c r="AA87" s="255"/>
      <c r="AB87" s="211"/>
      <c r="AC87" s="255"/>
      <c r="AD87" s="210"/>
      <c r="AE87" s="258"/>
      <c r="AF87" s="258"/>
      <c r="AG87" s="258"/>
      <c r="AH87" s="258"/>
      <c r="AI87" s="258"/>
      <c r="AJ87" s="258"/>
      <c r="AK87" s="258"/>
      <c r="AL87" s="258"/>
      <c r="AM87" s="258"/>
      <c r="AN87" s="258"/>
      <c r="AO87" s="258"/>
      <c r="AP87" s="258"/>
      <c r="AQ87" s="211"/>
      <c r="AR87" s="211"/>
      <c r="AS87" s="255"/>
      <c r="AT87" s="210"/>
      <c r="AU87" s="211"/>
      <c r="AV87" s="255"/>
      <c r="AW87" s="210"/>
      <c r="AX87" s="210"/>
    </row>
    <row r="88" spans="1:56" x14ac:dyDescent="0.3">
      <c r="A88" s="222">
        <v>2023</v>
      </c>
      <c r="B88" s="222" t="s">
        <v>35</v>
      </c>
      <c r="C88" s="282" t="s">
        <v>152</v>
      </c>
      <c r="D88" s="282" t="s">
        <v>153</v>
      </c>
      <c r="E88" s="282" t="s">
        <v>57</v>
      </c>
      <c r="F88" s="282" t="s">
        <v>148</v>
      </c>
      <c r="G88" s="283">
        <v>22000000</v>
      </c>
      <c r="H88" s="219" t="s">
        <v>42</v>
      </c>
      <c r="I88" s="258" t="s">
        <v>503</v>
      </c>
      <c r="J88" s="285">
        <v>175</v>
      </c>
      <c r="K88" s="286">
        <v>1</v>
      </c>
      <c r="L88" s="258" t="s">
        <v>48</v>
      </c>
      <c r="M88" s="258" t="s">
        <v>547</v>
      </c>
      <c r="N88" s="211" t="str">
        <f t="shared" si="6"/>
        <v>Yes</v>
      </c>
      <c r="O88" s="376"/>
      <c r="P88" s="258"/>
      <c r="Q88" s="263"/>
      <c r="R88" s="263"/>
      <c r="S88" s="282"/>
      <c r="T88" s="282"/>
      <c r="U88" s="258"/>
      <c r="V88" s="258"/>
      <c r="W88" s="258"/>
      <c r="X88" s="258"/>
      <c r="Y88" s="258"/>
      <c r="Z88" s="258"/>
      <c r="AA88" s="263"/>
      <c r="AB88" s="258"/>
      <c r="AC88" s="263"/>
      <c r="AD88" s="353"/>
      <c r="AE88" s="258"/>
      <c r="AF88" s="258"/>
      <c r="AG88" s="258"/>
      <c r="AH88" s="258"/>
      <c r="AI88" s="258"/>
      <c r="AJ88" s="258"/>
      <c r="AK88" s="258"/>
      <c r="AL88" s="258"/>
      <c r="AM88" s="258"/>
      <c r="AN88" s="258"/>
      <c r="AO88" s="258"/>
      <c r="AP88" s="258"/>
      <c r="AQ88" s="258"/>
      <c r="AR88" s="258"/>
      <c r="AS88" s="263"/>
      <c r="AT88" s="353"/>
      <c r="AU88" s="258"/>
      <c r="AV88" s="263"/>
      <c r="AW88" s="353"/>
      <c r="AX88" s="353"/>
    </row>
    <row r="89" spans="1:56" s="266" customFormat="1" x14ac:dyDescent="0.3">
      <c r="A89" s="222">
        <v>2025</v>
      </c>
      <c r="B89" s="222" t="s">
        <v>35</v>
      </c>
      <c r="C89" s="247" t="s">
        <v>560</v>
      </c>
      <c r="D89" s="247" t="s">
        <v>561</v>
      </c>
      <c r="E89" s="247" t="s">
        <v>115</v>
      </c>
      <c r="F89" s="282" t="s">
        <v>148</v>
      </c>
      <c r="G89" s="248">
        <v>8500000</v>
      </c>
      <c r="H89" s="219" t="s">
        <v>42</v>
      </c>
      <c r="I89" s="250" t="s">
        <v>503</v>
      </c>
      <c r="J89" s="251">
        <v>110</v>
      </c>
      <c r="K89" s="252">
        <v>0.95</v>
      </c>
      <c r="L89" s="250" t="s">
        <v>48</v>
      </c>
      <c r="M89" s="250" t="s">
        <v>100</v>
      </c>
      <c r="N89" s="211" t="str">
        <f t="shared" si="6"/>
        <v>Yes</v>
      </c>
      <c r="O89" s="253"/>
      <c r="P89" s="250"/>
      <c r="Q89" s="254"/>
      <c r="R89" s="254"/>
      <c r="S89" s="247" t="s">
        <v>562</v>
      </c>
      <c r="T89" s="247"/>
      <c r="U89" s="250"/>
      <c r="V89" s="250"/>
      <c r="W89" s="250"/>
      <c r="X89" s="250"/>
      <c r="Y89" s="250"/>
      <c r="Z89" s="250"/>
      <c r="AA89" s="254" t="str">
        <f>IF(X89="","",Y89+X89)</f>
        <v/>
      </c>
      <c r="AB89" s="250"/>
      <c r="AC89" s="254" t="str">
        <f>IF(AA89="","",AB89+AA89)</f>
        <v/>
      </c>
      <c r="AD89" s="358"/>
      <c r="AE89" s="258"/>
      <c r="AF89" s="258"/>
      <c r="AG89" s="258"/>
      <c r="AH89" s="258"/>
      <c r="AI89" s="258"/>
      <c r="AJ89" s="258"/>
      <c r="AK89" s="258"/>
      <c r="AL89" s="258"/>
      <c r="AM89" s="258"/>
      <c r="AN89" s="258"/>
      <c r="AO89" s="258"/>
      <c r="AP89" s="258"/>
      <c r="AQ89" s="250"/>
      <c r="AR89" s="250"/>
      <c r="AS89" s="263" t="str">
        <f>IF(W89="","",W89+AR89)</f>
        <v/>
      </c>
      <c r="AT89" s="358"/>
      <c r="AU89" s="250"/>
      <c r="AV89" s="263" t="str">
        <f>IF(AC89="","",AC89+AU89)</f>
        <v/>
      </c>
      <c r="AW89" s="358"/>
      <c r="AX89" s="358"/>
    </row>
    <row r="90" spans="1:56" s="266" customFormat="1" x14ac:dyDescent="0.3">
      <c r="A90" s="222">
        <v>2025</v>
      </c>
      <c r="B90" s="222" t="s">
        <v>35</v>
      </c>
      <c r="C90" s="247" t="s">
        <v>50</v>
      </c>
      <c r="D90" s="247" t="s">
        <v>52</v>
      </c>
      <c r="E90" s="247" t="s">
        <v>53</v>
      </c>
      <c r="F90" s="282" t="s">
        <v>148</v>
      </c>
      <c r="G90" s="248">
        <v>38000000</v>
      </c>
      <c r="H90" s="219" t="s">
        <v>42</v>
      </c>
      <c r="I90" s="250" t="s">
        <v>503</v>
      </c>
      <c r="J90" s="251">
        <v>118</v>
      </c>
      <c r="K90" s="252">
        <v>1</v>
      </c>
      <c r="L90" s="250" t="s">
        <v>48</v>
      </c>
      <c r="M90" s="250" t="s">
        <v>100</v>
      </c>
      <c r="N90" s="211" t="str">
        <f t="shared" si="6"/>
        <v>Yes</v>
      </c>
      <c r="O90" s="253"/>
      <c r="P90" s="250"/>
      <c r="Q90" s="254"/>
      <c r="R90" s="254"/>
      <c r="S90" s="247" t="s">
        <v>563</v>
      </c>
      <c r="T90" s="247"/>
      <c r="U90" s="250"/>
      <c r="V90" s="250"/>
      <c r="W90" s="250"/>
      <c r="X90" s="250"/>
      <c r="Y90" s="250"/>
      <c r="Z90" s="250"/>
      <c r="AA90" s="254" t="str">
        <f>IF(X90="","",Y90+X90)</f>
        <v/>
      </c>
      <c r="AB90" s="250"/>
      <c r="AC90" s="254" t="str">
        <f>IF(AA90="","",AB90+AA90)</f>
        <v/>
      </c>
      <c r="AD90" s="358"/>
      <c r="AE90" s="258"/>
      <c r="AF90" s="258"/>
      <c r="AG90" s="258"/>
      <c r="AH90" s="258"/>
      <c r="AI90" s="258"/>
      <c r="AJ90" s="258"/>
      <c r="AK90" s="258"/>
      <c r="AL90" s="258"/>
      <c r="AM90" s="258"/>
      <c r="AN90" s="258"/>
      <c r="AO90" s="258"/>
      <c r="AP90" s="258"/>
      <c r="AQ90" s="250"/>
      <c r="AR90" s="250"/>
      <c r="AS90" s="263" t="str">
        <f>IF(W90="","",W90+AR90)</f>
        <v/>
      </c>
      <c r="AT90" s="358"/>
      <c r="AU90" s="250"/>
      <c r="AV90" s="263" t="str">
        <f>IF(AC90="","",AC90+AU90)</f>
        <v/>
      </c>
      <c r="AW90" s="358"/>
      <c r="AX90" s="358"/>
    </row>
    <row r="91" spans="1:56" s="266" customFormat="1" x14ac:dyDescent="0.3">
      <c r="A91" s="222">
        <v>2024</v>
      </c>
      <c r="B91" s="222" t="s">
        <v>564</v>
      </c>
      <c r="C91" s="247" t="s">
        <v>37</v>
      </c>
      <c r="D91" s="247" t="s">
        <v>38</v>
      </c>
      <c r="E91" s="247" t="s">
        <v>31</v>
      </c>
      <c r="F91" s="282" t="s">
        <v>148</v>
      </c>
      <c r="G91" s="248">
        <v>15000000</v>
      </c>
      <c r="H91" s="249">
        <v>0.39800000000000002</v>
      </c>
      <c r="I91" s="258" t="s">
        <v>531</v>
      </c>
      <c r="J91" s="251">
        <v>700</v>
      </c>
      <c r="K91" s="252">
        <v>0.95</v>
      </c>
      <c r="L91" s="250" t="s">
        <v>32</v>
      </c>
      <c r="M91" s="250" t="s">
        <v>100</v>
      </c>
      <c r="N91" s="211" t="str">
        <f t="shared" si="6"/>
        <v/>
      </c>
      <c r="O91" s="253">
        <v>19.670000000000002</v>
      </c>
      <c r="P91" s="250"/>
      <c r="Q91" s="254"/>
      <c r="R91" s="254"/>
      <c r="S91" s="247" t="s">
        <v>565</v>
      </c>
      <c r="T91" s="247"/>
      <c r="U91" s="250"/>
      <c r="V91" s="250"/>
      <c r="W91" s="250"/>
      <c r="X91" s="250"/>
      <c r="Y91" s="250"/>
      <c r="Z91" s="250"/>
      <c r="AA91" s="254"/>
      <c r="AB91" s="250"/>
      <c r="AC91" s="254"/>
      <c r="AD91" s="358"/>
      <c r="AE91" s="258"/>
      <c r="AF91" s="258"/>
      <c r="AG91" s="258"/>
      <c r="AH91" s="258"/>
      <c r="AI91" s="258"/>
      <c r="AJ91" s="258"/>
      <c r="AK91" s="258"/>
      <c r="AL91" s="258"/>
      <c r="AM91" s="258"/>
      <c r="AN91" s="258"/>
      <c r="AO91" s="258"/>
      <c r="AP91" s="258"/>
      <c r="AQ91" s="250"/>
      <c r="AR91" s="250"/>
      <c r="AS91" s="254"/>
      <c r="AT91" s="358"/>
      <c r="AU91" s="250"/>
      <c r="AV91" s="254"/>
      <c r="AW91" s="358"/>
      <c r="AX91" s="358"/>
    </row>
    <row r="92" spans="1:56" x14ac:dyDescent="0.3">
      <c r="A92" s="222">
        <v>2025</v>
      </c>
      <c r="B92" s="222"/>
      <c r="C92" s="370" t="s">
        <v>566</v>
      </c>
      <c r="D92" s="282" t="s">
        <v>567</v>
      </c>
      <c r="E92" s="282" t="s">
        <v>282</v>
      </c>
      <c r="F92" s="282" t="s">
        <v>148</v>
      </c>
      <c r="G92" s="283">
        <v>50000000</v>
      </c>
      <c r="H92" s="284">
        <v>0.249</v>
      </c>
      <c r="I92" s="258" t="s">
        <v>503</v>
      </c>
      <c r="J92" s="285">
        <f>483+460</f>
        <v>943</v>
      </c>
      <c r="K92" s="286">
        <v>0.99</v>
      </c>
      <c r="L92" s="258" t="s">
        <v>48</v>
      </c>
      <c r="M92" s="258" t="s">
        <v>547</v>
      </c>
      <c r="N92" s="211" t="str">
        <f t="shared" si="6"/>
        <v>Yes</v>
      </c>
      <c r="O92" s="211"/>
      <c r="P92" s="211"/>
      <c r="Q92" s="255"/>
      <c r="R92" s="255"/>
      <c r="S92" s="370" t="s">
        <v>568</v>
      </c>
      <c r="T92" s="370"/>
      <c r="U92" s="211"/>
      <c r="V92" s="211"/>
      <c r="W92" s="211"/>
      <c r="X92" s="211"/>
      <c r="Y92" s="211"/>
      <c r="Z92" s="211"/>
      <c r="AA92" s="255"/>
      <c r="AB92" s="211"/>
      <c r="AC92" s="255"/>
      <c r="AD92" s="210"/>
      <c r="AE92" s="211"/>
      <c r="AF92" s="211"/>
      <c r="AG92" s="211"/>
      <c r="AH92" s="211"/>
      <c r="AI92" s="211"/>
      <c r="AJ92" s="211"/>
      <c r="AK92" s="211"/>
      <c r="AL92" s="211"/>
      <c r="AM92" s="211"/>
      <c r="AN92" s="211"/>
      <c r="AO92" s="211"/>
      <c r="AP92" s="211"/>
      <c r="AQ92" s="211"/>
      <c r="AR92" s="211"/>
      <c r="AS92" s="255"/>
      <c r="AT92" s="210"/>
      <c r="AU92" s="211"/>
      <c r="AV92" s="255"/>
      <c r="AW92" s="210"/>
      <c r="AX92" s="210"/>
      <c r="AY92" s="266"/>
      <c r="AZ92" s="266"/>
      <c r="BA92" s="266"/>
    </row>
    <row r="93" spans="1:56" x14ac:dyDescent="0.3">
      <c r="A93" s="222">
        <v>2025</v>
      </c>
      <c r="B93" s="222"/>
      <c r="C93" s="282" t="s">
        <v>569</v>
      </c>
      <c r="D93" s="282" t="s">
        <v>348</v>
      </c>
      <c r="E93" s="282" t="s">
        <v>299</v>
      </c>
      <c r="F93" s="282" t="s">
        <v>148</v>
      </c>
      <c r="G93" s="283" t="s">
        <v>42</v>
      </c>
      <c r="H93" s="284" t="s">
        <v>42</v>
      </c>
      <c r="I93" s="258" t="s">
        <v>503</v>
      </c>
      <c r="J93" s="285"/>
      <c r="K93" s="286" t="s">
        <v>42</v>
      </c>
      <c r="L93" s="258" t="s">
        <v>48</v>
      </c>
      <c r="M93" s="250"/>
      <c r="N93" s="211" t="str">
        <f t="shared" si="6"/>
        <v>Yes</v>
      </c>
      <c r="O93" s="258"/>
      <c r="P93" s="258"/>
      <c r="Q93" s="263"/>
      <c r="R93" s="263"/>
      <c r="S93" s="282"/>
      <c r="T93" s="282"/>
      <c r="U93" s="258"/>
      <c r="V93" s="258"/>
      <c r="W93" s="258"/>
      <c r="X93" s="258"/>
      <c r="Y93" s="258"/>
      <c r="Z93" s="258"/>
      <c r="AA93" s="263"/>
      <c r="AB93" s="258"/>
      <c r="AC93" s="263"/>
      <c r="AD93" s="353"/>
      <c r="AE93" s="258"/>
      <c r="AF93" s="258"/>
      <c r="AG93" s="258"/>
      <c r="AH93" s="258"/>
      <c r="AI93" s="258"/>
      <c r="AJ93" s="258"/>
      <c r="AK93" s="258"/>
      <c r="AL93" s="258"/>
      <c r="AM93" s="258"/>
      <c r="AN93" s="258"/>
      <c r="AO93" s="258"/>
      <c r="AP93" s="258"/>
      <c r="AQ93" s="258"/>
      <c r="AR93" s="258"/>
      <c r="AS93" s="263"/>
      <c r="AT93" s="353"/>
      <c r="AU93" s="258"/>
      <c r="AV93" s="263"/>
      <c r="AW93" s="353"/>
      <c r="AX93" s="353"/>
      <c r="AY93" s="266"/>
      <c r="AZ93" s="266"/>
      <c r="BA93" s="266"/>
      <c r="BB93" s="266"/>
    </row>
    <row r="94" spans="1:56" x14ac:dyDescent="0.3">
      <c r="A94" s="222">
        <v>2025</v>
      </c>
      <c r="B94" s="222"/>
      <c r="C94" s="282" t="s">
        <v>570</v>
      </c>
      <c r="D94" s="282" t="s">
        <v>571</v>
      </c>
      <c r="E94" s="282" t="s">
        <v>31</v>
      </c>
      <c r="F94" s="282" t="s">
        <v>148</v>
      </c>
      <c r="G94" s="283" t="s">
        <v>42</v>
      </c>
      <c r="H94" s="284" t="s">
        <v>42</v>
      </c>
      <c r="I94" s="258" t="s">
        <v>531</v>
      </c>
      <c r="J94" s="285">
        <v>221</v>
      </c>
      <c r="K94" s="286" t="s">
        <v>42</v>
      </c>
      <c r="L94" s="258" t="s">
        <v>48</v>
      </c>
      <c r="M94" s="250" t="s">
        <v>110</v>
      </c>
      <c r="N94" s="211" t="str">
        <f t="shared" si="6"/>
        <v>Yes</v>
      </c>
      <c r="O94" s="258"/>
      <c r="P94" s="258"/>
      <c r="Q94" s="263"/>
      <c r="R94" s="263"/>
      <c r="S94" s="282" t="s">
        <v>572</v>
      </c>
      <c r="T94" s="282"/>
      <c r="U94" s="258"/>
      <c r="V94" s="258"/>
      <c r="W94" s="258"/>
      <c r="X94" s="258"/>
      <c r="Y94" s="258"/>
      <c r="Z94" s="258"/>
      <c r="AA94" s="263"/>
      <c r="AB94" s="258"/>
      <c r="AC94" s="263"/>
      <c r="AD94" s="353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O94" s="258"/>
      <c r="AP94" s="258"/>
      <c r="AQ94" s="258"/>
      <c r="AR94" s="258"/>
      <c r="AS94" s="263"/>
      <c r="AT94" s="353"/>
      <c r="AU94" s="258"/>
      <c r="AV94" s="263"/>
      <c r="AW94" s="353"/>
      <c r="AX94" s="353"/>
      <c r="AY94" s="266"/>
      <c r="AZ94" s="266"/>
      <c r="BA94" s="266"/>
      <c r="BB94" s="266"/>
    </row>
    <row r="95" spans="1:56" s="266" customFormat="1" x14ac:dyDescent="0.3">
      <c r="A95" s="222">
        <v>2025</v>
      </c>
      <c r="B95" s="222"/>
      <c r="C95" s="247" t="s">
        <v>573</v>
      </c>
      <c r="D95" s="247" t="s">
        <v>43</v>
      </c>
      <c r="E95" s="247" t="s">
        <v>31</v>
      </c>
      <c r="F95" s="282" t="s">
        <v>148</v>
      </c>
      <c r="G95" s="248" t="s">
        <v>42</v>
      </c>
      <c r="H95" s="249" t="s">
        <v>42</v>
      </c>
      <c r="I95" s="258" t="s">
        <v>531</v>
      </c>
      <c r="J95" s="251">
        <v>240</v>
      </c>
      <c r="K95" s="252">
        <v>0</v>
      </c>
      <c r="L95" s="250" t="s">
        <v>32</v>
      </c>
      <c r="M95" s="250" t="s">
        <v>100</v>
      </c>
      <c r="N95" s="211" t="str">
        <f t="shared" ref="N95:N98" si="8">IF(L95="Broker","","Yes")</f>
        <v/>
      </c>
      <c r="O95" s="253">
        <v>4.9000000000000004</v>
      </c>
      <c r="P95" s="250"/>
      <c r="Q95" s="254"/>
      <c r="R95" s="254"/>
      <c r="S95" s="247"/>
      <c r="T95" s="247"/>
      <c r="U95" s="250"/>
      <c r="V95" s="250"/>
      <c r="W95" s="250"/>
      <c r="X95" s="250"/>
      <c r="Y95" s="250"/>
      <c r="Z95" s="250"/>
      <c r="AA95" s="254"/>
      <c r="AB95" s="250"/>
      <c r="AC95" s="254"/>
      <c r="AD95" s="358"/>
      <c r="AE95" s="258"/>
      <c r="AF95" s="258"/>
      <c r="AG95" s="258"/>
      <c r="AH95" s="258"/>
      <c r="AI95" s="258"/>
      <c r="AJ95" s="258"/>
      <c r="AK95" s="258"/>
      <c r="AL95" s="258"/>
      <c r="AM95" s="258"/>
      <c r="AN95" s="258"/>
      <c r="AO95" s="258"/>
      <c r="AP95" s="258"/>
      <c r="AQ95" s="250"/>
      <c r="AR95" s="250"/>
      <c r="AS95" s="254"/>
      <c r="AT95" s="358"/>
      <c r="AU95" s="250"/>
      <c r="AV95" s="254"/>
      <c r="AW95" s="358"/>
      <c r="AX95" s="358"/>
    </row>
    <row r="96" spans="1:56" x14ac:dyDescent="0.3">
      <c r="A96" s="222">
        <v>2025</v>
      </c>
      <c r="B96" s="222"/>
      <c r="C96" s="370" t="s">
        <v>574</v>
      </c>
      <c r="D96" s="282"/>
      <c r="E96" s="282" t="s">
        <v>163</v>
      </c>
      <c r="F96" s="282" t="s">
        <v>148</v>
      </c>
      <c r="G96" s="283" t="s">
        <v>42</v>
      </c>
      <c r="H96" s="284" t="s">
        <v>42</v>
      </c>
      <c r="I96" s="258" t="s">
        <v>503</v>
      </c>
      <c r="J96" s="285"/>
      <c r="K96" s="286"/>
      <c r="L96" s="258" t="s">
        <v>48</v>
      </c>
      <c r="M96" s="250"/>
      <c r="N96" s="211" t="str">
        <f t="shared" si="8"/>
        <v>Yes</v>
      </c>
      <c r="O96" s="211"/>
      <c r="P96" s="211"/>
      <c r="Q96" s="255"/>
      <c r="R96" s="255"/>
      <c r="S96" s="370"/>
      <c r="T96" s="370"/>
      <c r="U96" s="211"/>
      <c r="V96" s="211"/>
      <c r="W96" s="211"/>
      <c r="X96" s="211"/>
      <c r="Y96" s="211"/>
      <c r="Z96" s="211"/>
      <c r="AA96" s="255"/>
      <c r="AB96" s="211"/>
      <c r="AC96" s="255"/>
      <c r="AD96" s="210"/>
      <c r="AE96" s="211"/>
      <c r="AF96" s="211"/>
      <c r="AG96" s="211"/>
      <c r="AH96" s="211"/>
      <c r="AI96" s="211"/>
      <c r="AJ96" s="211"/>
      <c r="AK96" s="211"/>
      <c r="AL96" s="211"/>
      <c r="AM96" s="211"/>
      <c r="AN96" s="211"/>
      <c r="AO96" s="211"/>
      <c r="AP96" s="211"/>
      <c r="AQ96" s="211"/>
      <c r="AR96" s="211"/>
      <c r="AS96" s="255"/>
      <c r="AT96" s="210"/>
      <c r="AU96" s="211"/>
      <c r="AV96" s="255"/>
      <c r="AW96" s="210"/>
      <c r="AX96" s="210"/>
      <c r="AY96" s="266"/>
      <c r="AZ96" s="266"/>
      <c r="BA96" s="266"/>
      <c r="BB96" s="266"/>
    </row>
    <row r="97" spans="1:56" ht="16.5" customHeight="1" x14ac:dyDescent="0.3">
      <c r="A97" s="222">
        <v>2025</v>
      </c>
      <c r="B97" s="222"/>
      <c r="C97" s="370" t="s">
        <v>575</v>
      </c>
      <c r="D97" s="282" t="s">
        <v>576</v>
      </c>
      <c r="E97" s="282" t="s">
        <v>577</v>
      </c>
      <c r="F97" s="282" t="s">
        <v>148</v>
      </c>
      <c r="G97" s="283">
        <v>15000000</v>
      </c>
      <c r="H97" s="284" t="s">
        <v>42</v>
      </c>
      <c r="I97" s="258" t="s">
        <v>503</v>
      </c>
      <c r="J97" s="285">
        <v>275</v>
      </c>
      <c r="K97" s="286" t="s">
        <v>42</v>
      </c>
      <c r="L97" s="258" t="s">
        <v>48</v>
      </c>
      <c r="M97" s="258"/>
      <c r="N97" s="211" t="str">
        <f t="shared" si="8"/>
        <v>Yes</v>
      </c>
      <c r="O97" s="211"/>
      <c r="P97" s="211"/>
      <c r="Q97" s="255"/>
      <c r="R97" s="255"/>
      <c r="S97" s="370" t="s">
        <v>578</v>
      </c>
      <c r="T97" s="370"/>
      <c r="U97" s="211"/>
      <c r="V97" s="211"/>
      <c r="W97" s="211"/>
      <c r="X97" s="211"/>
      <c r="Y97" s="211"/>
      <c r="Z97" s="211"/>
      <c r="AA97" s="255"/>
      <c r="AB97" s="211"/>
      <c r="AC97" s="255"/>
      <c r="AD97" s="210"/>
      <c r="AE97" s="211"/>
      <c r="AF97" s="211"/>
      <c r="AG97" s="211"/>
      <c r="AH97" s="211"/>
      <c r="AI97" s="211"/>
      <c r="AJ97" s="211"/>
      <c r="AK97" s="211"/>
      <c r="AL97" s="211"/>
      <c r="AM97" s="211"/>
      <c r="AN97" s="211"/>
      <c r="AO97" s="211"/>
      <c r="AP97" s="211"/>
      <c r="AQ97" s="211"/>
      <c r="AR97" s="211"/>
      <c r="AS97" s="255"/>
      <c r="AT97" s="210"/>
      <c r="AU97" s="211"/>
      <c r="AV97" s="255"/>
      <c r="AW97" s="210"/>
      <c r="AX97" s="210"/>
      <c r="AY97" s="266"/>
      <c r="AZ97" s="266"/>
      <c r="BA97" s="266"/>
      <c r="BB97" s="266"/>
    </row>
    <row r="98" spans="1:56" x14ac:dyDescent="0.3">
      <c r="A98" s="222">
        <v>2025</v>
      </c>
      <c r="B98" s="222"/>
      <c r="C98" s="282" t="s">
        <v>579</v>
      </c>
      <c r="D98" s="282" t="s">
        <v>60</v>
      </c>
      <c r="E98" s="282" t="s">
        <v>130</v>
      </c>
      <c r="F98" s="282" t="s">
        <v>148</v>
      </c>
      <c r="G98" s="283" t="s">
        <v>42</v>
      </c>
      <c r="H98" s="284" t="s">
        <v>42</v>
      </c>
      <c r="I98" s="258" t="s">
        <v>503</v>
      </c>
      <c r="J98" s="285">
        <v>130</v>
      </c>
      <c r="K98" s="286" t="s">
        <v>42</v>
      </c>
      <c r="L98" s="258" t="s">
        <v>48</v>
      </c>
      <c r="M98" s="250" t="s">
        <v>100</v>
      </c>
      <c r="N98" s="211" t="str">
        <f t="shared" si="8"/>
        <v>Yes</v>
      </c>
      <c r="O98" s="258"/>
      <c r="P98" s="258"/>
      <c r="Q98" s="263"/>
      <c r="R98" s="263"/>
      <c r="S98" s="282"/>
      <c r="T98" s="282"/>
      <c r="U98" s="258"/>
      <c r="V98" s="258"/>
      <c r="W98" s="258"/>
      <c r="X98" s="258"/>
      <c r="Y98" s="258"/>
      <c r="Z98" s="258"/>
      <c r="AA98" s="263"/>
      <c r="AB98" s="258"/>
      <c r="AC98" s="263"/>
      <c r="AD98" s="353"/>
      <c r="AE98" s="258"/>
      <c r="AF98" s="258"/>
      <c r="AG98" s="258"/>
      <c r="AH98" s="258"/>
      <c r="AI98" s="258"/>
      <c r="AJ98" s="258"/>
      <c r="AK98" s="258"/>
      <c r="AL98" s="258"/>
      <c r="AM98" s="258"/>
      <c r="AN98" s="258"/>
      <c r="AO98" s="258"/>
      <c r="AP98" s="258"/>
      <c r="AQ98" s="258"/>
      <c r="AR98" s="258"/>
      <c r="AS98" s="263"/>
      <c r="AT98" s="353"/>
      <c r="AU98" s="258"/>
      <c r="AV98" s="263"/>
      <c r="AW98" s="353"/>
      <c r="AX98" s="353"/>
      <c r="AY98" s="266"/>
      <c r="AZ98" s="266"/>
      <c r="BA98" s="266"/>
      <c r="BB98" s="266"/>
    </row>
    <row r="99" spans="1:56" s="266" customFormat="1" x14ac:dyDescent="0.3">
      <c r="A99" s="222">
        <v>2025</v>
      </c>
      <c r="B99" s="222" t="s">
        <v>35</v>
      </c>
      <c r="C99" s="247" t="s">
        <v>79</v>
      </c>
      <c r="D99" s="247" t="s">
        <v>580</v>
      </c>
      <c r="E99" s="247" t="s">
        <v>31</v>
      </c>
      <c r="F99" s="282" t="s">
        <v>148</v>
      </c>
      <c r="G99" s="248">
        <v>20500000</v>
      </c>
      <c r="H99" s="249">
        <v>0.22700000000000001</v>
      </c>
      <c r="I99" s="250" t="s">
        <v>503</v>
      </c>
      <c r="J99" s="251">
        <v>404</v>
      </c>
      <c r="K99" s="252">
        <v>0.98</v>
      </c>
      <c r="L99" s="250" t="s">
        <v>32</v>
      </c>
      <c r="M99" s="250" t="s">
        <v>100</v>
      </c>
      <c r="N99" s="211" t="str">
        <f>IF(L99="Broker","","Yes")</f>
        <v/>
      </c>
      <c r="O99" s="253">
        <v>17.04</v>
      </c>
      <c r="P99" s="250">
        <v>2025</v>
      </c>
      <c r="Q99" s="254">
        <v>45762</v>
      </c>
      <c r="R99" s="254"/>
      <c r="S99" s="247" t="s">
        <v>581</v>
      </c>
      <c r="T99" s="247"/>
      <c r="U99" s="250"/>
      <c r="V99" s="250" t="s">
        <v>506</v>
      </c>
      <c r="W99" s="250"/>
      <c r="X99" s="250"/>
      <c r="Y99" s="250">
        <v>60</v>
      </c>
      <c r="Z99" s="250">
        <v>0</v>
      </c>
      <c r="AA99" s="254"/>
      <c r="AB99" s="250">
        <v>30</v>
      </c>
      <c r="AC99" s="254"/>
      <c r="AD99" s="358"/>
      <c r="AE99" s="258"/>
      <c r="AF99" s="258"/>
      <c r="AG99" s="258"/>
      <c r="AH99" s="258"/>
      <c r="AI99" s="258"/>
      <c r="AJ99" s="258"/>
      <c r="AK99" s="258"/>
      <c r="AL99" s="258"/>
      <c r="AM99" s="258"/>
      <c r="AN99" s="258"/>
      <c r="AO99" s="258"/>
      <c r="AP99" s="258"/>
      <c r="AQ99" s="250" t="s">
        <v>510</v>
      </c>
      <c r="AR99" s="250"/>
      <c r="AS99" s="263" t="str">
        <f>IF(W99="","TBD",W99+AR99)</f>
        <v>TBD</v>
      </c>
      <c r="AT99" s="358">
        <v>400000</v>
      </c>
      <c r="AU99" s="250"/>
      <c r="AV99" s="254" t="str">
        <f>IF(AA99="","TBD",AA99+AU99)</f>
        <v>TBD</v>
      </c>
      <c r="AW99" s="358">
        <v>400000</v>
      </c>
      <c r="AX99" s="353">
        <f>SUM(AW99,AT99)</f>
        <v>800000</v>
      </c>
    </row>
    <row r="100" spans="1:56" s="266" customFormat="1" x14ac:dyDescent="0.3">
      <c r="A100" s="222">
        <v>2023</v>
      </c>
      <c r="B100" s="222" t="s">
        <v>35</v>
      </c>
      <c r="C100" s="247" t="s">
        <v>582</v>
      </c>
      <c r="D100" s="247" t="s">
        <v>47</v>
      </c>
      <c r="E100" s="247" t="s">
        <v>31</v>
      </c>
      <c r="F100" s="282" t="s">
        <v>148</v>
      </c>
      <c r="G100" s="248">
        <v>20000000</v>
      </c>
      <c r="H100" s="249">
        <v>0.24099999999999999</v>
      </c>
      <c r="I100" s="250" t="s">
        <v>503</v>
      </c>
      <c r="J100" s="251">
        <v>50</v>
      </c>
      <c r="K100" s="252">
        <v>0.95</v>
      </c>
      <c r="L100" s="250" t="s">
        <v>32</v>
      </c>
      <c r="M100" s="250" t="s">
        <v>100</v>
      </c>
      <c r="N100" s="211" t="str">
        <f t="shared" ref="N100" si="9">IF(L100="Broker","","Yes")</f>
        <v/>
      </c>
      <c r="O100" s="253">
        <v>2.59</v>
      </c>
      <c r="P100" s="250"/>
      <c r="Q100" s="254"/>
      <c r="R100" s="254"/>
      <c r="S100" s="247" t="s">
        <v>583</v>
      </c>
      <c r="T100" s="247"/>
      <c r="U100" s="250"/>
      <c r="V100" s="250"/>
      <c r="W100" s="250"/>
      <c r="X100" s="250"/>
      <c r="Y100" s="250"/>
      <c r="Z100" s="250"/>
      <c r="AA100" s="256" t="str">
        <f>IF(X100="","",IF(Z100=OR(0,""),Y100+X100,X100+Y100+Z100))</f>
        <v/>
      </c>
      <c r="AB100" s="250"/>
      <c r="AC100" s="257" t="str">
        <f>IF(AA100="","",AB100+AA100)</f>
        <v/>
      </c>
      <c r="AD100" s="258" t="str">
        <f>IF(R100="","",$A$1-R100)</f>
        <v/>
      </c>
      <c r="AE100" s="258"/>
      <c r="AF100" s="258"/>
      <c r="AG100" s="258"/>
      <c r="AH100" s="258"/>
      <c r="AI100" s="258"/>
      <c r="AJ100" s="258"/>
      <c r="AK100" s="258"/>
      <c r="AL100" s="258"/>
      <c r="AM100" s="258"/>
      <c r="AN100" s="258"/>
      <c r="AO100" s="258"/>
      <c r="AP100" s="258"/>
      <c r="AQ100" s="250"/>
      <c r="AR100" s="250"/>
      <c r="AS100" s="263" t="str">
        <f>IF(W100="","TBD",W100+AR100)</f>
        <v>TBD</v>
      </c>
      <c r="AT100" s="358"/>
      <c r="AU100" s="250"/>
      <c r="AV100" s="263" t="str">
        <f>IF(AA100="","TBD",AA100+AU100)</f>
        <v>TBD</v>
      </c>
      <c r="AW100" s="358"/>
      <c r="AX100" s="353">
        <f>SUM(AW100,AT100)</f>
        <v>0</v>
      </c>
    </row>
    <row r="101" spans="1:56" x14ac:dyDescent="0.3">
      <c r="A101" s="222">
        <v>2025</v>
      </c>
      <c r="B101" s="222"/>
      <c r="C101" s="282" t="s">
        <v>584</v>
      </c>
      <c r="D101" s="282" t="s">
        <v>278</v>
      </c>
      <c r="E101" s="282" t="s">
        <v>208</v>
      </c>
      <c r="F101" s="282" t="s">
        <v>148</v>
      </c>
      <c r="G101" s="283">
        <v>25000000</v>
      </c>
      <c r="H101" s="284" t="s">
        <v>42</v>
      </c>
      <c r="I101" s="258" t="s">
        <v>556</v>
      </c>
      <c r="J101" s="285"/>
      <c r="K101" s="286" t="s">
        <v>42</v>
      </c>
      <c r="L101" s="258" t="s">
        <v>48</v>
      </c>
      <c r="M101" s="250"/>
      <c r="N101" s="258"/>
      <c r="O101" s="258"/>
      <c r="P101" s="258"/>
      <c r="Q101" s="263"/>
      <c r="R101" s="263"/>
      <c r="S101" s="282"/>
      <c r="T101" s="282"/>
      <c r="U101" s="258"/>
      <c r="V101" s="258"/>
      <c r="W101" s="258"/>
      <c r="X101" s="258"/>
      <c r="Y101" s="258"/>
      <c r="Z101" s="258"/>
      <c r="AA101" s="263"/>
      <c r="AB101" s="258"/>
      <c r="AC101" s="263"/>
      <c r="AD101" s="353"/>
      <c r="AE101" s="258"/>
      <c r="AF101" s="258"/>
      <c r="AG101" s="258"/>
      <c r="AH101" s="258"/>
      <c r="AI101" s="258"/>
      <c r="AJ101" s="258"/>
      <c r="AK101" s="258"/>
      <c r="AL101" s="258"/>
      <c r="AM101" s="258"/>
      <c r="AN101" s="258"/>
      <c r="AO101" s="258"/>
      <c r="AP101" s="258"/>
      <c r="AQ101" s="258"/>
      <c r="AR101" s="258"/>
      <c r="AS101" s="263"/>
      <c r="AT101" s="353"/>
      <c r="AU101" s="258"/>
      <c r="AV101" s="263"/>
      <c r="AW101" s="353"/>
      <c r="AX101" s="353"/>
      <c r="AY101" s="266"/>
      <c r="AZ101" s="266"/>
      <c r="BA101" s="266"/>
      <c r="BB101" s="266"/>
    </row>
    <row r="102" spans="1:56" x14ac:dyDescent="0.3">
      <c r="A102" s="222">
        <v>2025</v>
      </c>
      <c r="B102" s="222"/>
      <c r="C102" s="282" t="s">
        <v>585</v>
      </c>
      <c r="D102" s="282" t="s">
        <v>136</v>
      </c>
      <c r="E102" s="282" t="s">
        <v>130</v>
      </c>
      <c r="F102" s="282" t="s">
        <v>148</v>
      </c>
      <c r="G102" s="283" t="s">
        <v>42</v>
      </c>
      <c r="H102" s="284" t="s">
        <v>42</v>
      </c>
      <c r="I102" s="258" t="s">
        <v>531</v>
      </c>
      <c r="J102" s="285">
        <v>400</v>
      </c>
      <c r="K102" s="286" t="s">
        <v>42</v>
      </c>
      <c r="L102" s="258" t="s">
        <v>48</v>
      </c>
      <c r="M102" s="250" t="s">
        <v>100</v>
      </c>
      <c r="N102" s="211" t="str">
        <f>IF(L102="Broker","","Yes")</f>
        <v>Yes</v>
      </c>
      <c r="O102" s="258"/>
      <c r="P102" s="258"/>
      <c r="Q102" s="263"/>
      <c r="R102" s="263"/>
      <c r="S102" s="282" t="s">
        <v>586</v>
      </c>
      <c r="T102" s="282"/>
      <c r="U102" s="258"/>
      <c r="V102" s="258"/>
      <c r="W102" s="258"/>
      <c r="X102" s="258"/>
      <c r="Y102" s="258"/>
      <c r="Z102" s="258"/>
      <c r="AA102" s="263"/>
      <c r="AB102" s="258"/>
      <c r="AC102" s="263"/>
      <c r="AD102" s="353"/>
      <c r="AE102" s="258"/>
      <c r="AF102" s="258"/>
      <c r="AG102" s="258"/>
      <c r="AH102" s="258"/>
      <c r="AI102" s="258"/>
      <c r="AJ102" s="258"/>
      <c r="AK102" s="258"/>
      <c r="AL102" s="258"/>
      <c r="AM102" s="258"/>
      <c r="AN102" s="258"/>
      <c r="AO102" s="258"/>
      <c r="AP102" s="258"/>
      <c r="AQ102" s="258"/>
      <c r="AR102" s="258"/>
      <c r="AS102" s="263"/>
      <c r="AT102" s="353"/>
      <c r="AU102" s="258"/>
      <c r="AV102" s="263"/>
      <c r="AW102" s="353"/>
      <c r="AX102" s="353"/>
      <c r="AY102" s="266"/>
      <c r="AZ102" s="266"/>
      <c r="BA102" s="266"/>
      <c r="BB102" s="266"/>
    </row>
    <row r="103" spans="1:56" x14ac:dyDescent="0.3">
      <c r="A103" s="222">
        <v>2024</v>
      </c>
      <c r="B103" s="222" t="s">
        <v>35</v>
      </c>
      <c r="C103" s="247" t="s">
        <v>108</v>
      </c>
      <c r="D103" s="247" t="s">
        <v>109</v>
      </c>
      <c r="E103" s="247" t="s">
        <v>31</v>
      </c>
      <c r="F103" s="282" t="s">
        <v>148</v>
      </c>
      <c r="G103" s="248">
        <v>27500000</v>
      </c>
      <c r="H103" s="249" t="s">
        <v>42</v>
      </c>
      <c r="I103" s="250" t="s">
        <v>503</v>
      </c>
      <c r="J103" s="357">
        <v>354</v>
      </c>
      <c r="K103" s="252">
        <v>0.93</v>
      </c>
      <c r="L103" s="250" t="s">
        <v>48</v>
      </c>
      <c r="M103" s="250" t="s">
        <v>100</v>
      </c>
      <c r="N103" s="211" t="str">
        <f>IF(L103="Broker","","Yes")</f>
        <v>Yes</v>
      </c>
      <c r="O103" s="253">
        <v>2.71</v>
      </c>
      <c r="P103" s="250">
        <v>2025</v>
      </c>
      <c r="Q103" s="254">
        <v>45884</v>
      </c>
      <c r="R103" s="254"/>
      <c r="S103" s="282" t="s">
        <v>587</v>
      </c>
      <c r="T103" s="282"/>
      <c r="U103" s="258"/>
      <c r="V103" s="258"/>
      <c r="W103" s="258"/>
      <c r="X103" s="258"/>
      <c r="Y103" s="258"/>
      <c r="Z103" s="258"/>
      <c r="AA103" s="256" t="str">
        <f t="shared" ref="AA103" si="10">IF(X103="","",IF(Z103=OR(0,""),Y103+X103,X103+Y103+Z103))</f>
        <v/>
      </c>
      <c r="AB103" s="258"/>
      <c r="AC103" s="256" t="str">
        <f t="shared" ref="AC103" si="11">IF(AA103="","",AB103+AA103)</f>
        <v/>
      </c>
      <c r="AD103" s="258" t="str">
        <f>IF(R103="","",$A$1-R103)</f>
        <v/>
      </c>
      <c r="AE103" s="258"/>
      <c r="AF103" s="258"/>
      <c r="AG103" s="258"/>
      <c r="AH103" s="258"/>
      <c r="AI103" s="258"/>
      <c r="AJ103" s="258"/>
      <c r="AK103" s="258"/>
      <c r="AL103" s="258"/>
      <c r="AM103" s="258"/>
      <c r="AN103" s="258"/>
      <c r="AO103" s="258"/>
      <c r="AP103" s="258"/>
      <c r="AQ103" s="258"/>
      <c r="AR103" s="258"/>
      <c r="AS103" s="263" t="str">
        <f>IF(W103="","TBD",W103+AR103)</f>
        <v>TBD</v>
      </c>
      <c r="AT103" s="353"/>
      <c r="AU103" s="258"/>
      <c r="AV103" s="263" t="str">
        <f>IF(AA103="","TBD",AA103+AU103)</f>
        <v>TBD</v>
      </c>
      <c r="AW103" s="353"/>
      <c r="AX103" s="353">
        <f>SUM(AW103,AT103)</f>
        <v>0</v>
      </c>
    </row>
    <row r="104" spans="1:56" x14ac:dyDescent="0.3">
      <c r="A104" s="222">
        <v>2025</v>
      </c>
      <c r="B104" s="222" t="s">
        <v>35</v>
      </c>
      <c r="C104" s="247" t="s">
        <v>588</v>
      </c>
      <c r="D104" s="247" t="s">
        <v>589</v>
      </c>
      <c r="E104" s="247" t="s">
        <v>31</v>
      </c>
      <c r="F104" s="359" t="s">
        <v>96</v>
      </c>
      <c r="G104" s="248">
        <v>7500000</v>
      </c>
      <c r="H104" s="249" t="s">
        <v>42</v>
      </c>
      <c r="I104" s="250" t="s">
        <v>503</v>
      </c>
      <c r="J104" s="357">
        <v>125</v>
      </c>
      <c r="K104" s="252">
        <v>0</v>
      </c>
      <c r="L104" s="250" t="s">
        <v>32</v>
      </c>
      <c r="M104" s="250" t="s">
        <v>100</v>
      </c>
      <c r="N104" s="211" t="str">
        <f t="shared" ref="N104" si="12">IF(L104="Broker","","Yes")</f>
        <v/>
      </c>
      <c r="O104" s="253"/>
      <c r="P104" s="250">
        <v>2025</v>
      </c>
      <c r="Q104" s="254">
        <v>45764</v>
      </c>
      <c r="R104" s="254"/>
      <c r="S104" s="282"/>
      <c r="T104" s="282"/>
      <c r="U104" s="258"/>
      <c r="V104" s="258" t="s">
        <v>506</v>
      </c>
      <c r="W104" s="258"/>
      <c r="X104" s="258"/>
      <c r="Y104" s="258">
        <v>30</v>
      </c>
      <c r="Z104" s="258">
        <v>0</v>
      </c>
      <c r="AA104" s="256" t="str">
        <f t="shared" ref="AA104" si="13">IF(X104="","",IF(Z104=OR(0,""),Y104+X104,X104+Y104+Z104))</f>
        <v/>
      </c>
      <c r="AB104" s="258">
        <v>15</v>
      </c>
      <c r="AC104" s="256" t="str">
        <f t="shared" ref="AC104" si="14">IF(AA104="","",AB104+AA104)</f>
        <v/>
      </c>
      <c r="AD104" s="258" t="str">
        <f>IF(R104="","",$A$1-R104)</f>
        <v/>
      </c>
      <c r="AE104" s="258" t="s">
        <v>34</v>
      </c>
      <c r="AF104" s="258"/>
      <c r="AG104" s="258"/>
      <c r="AH104" s="258" t="s">
        <v>34</v>
      </c>
      <c r="AI104" s="258"/>
      <c r="AJ104" s="258"/>
      <c r="AK104" s="258" t="s">
        <v>34</v>
      </c>
      <c r="AL104" s="258"/>
      <c r="AM104" s="258"/>
      <c r="AN104" s="258"/>
      <c r="AO104" s="258"/>
      <c r="AP104" s="258"/>
      <c r="AQ104" s="258"/>
      <c r="AR104" s="258"/>
      <c r="AS104" s="263" t="str">
        <f>IF(W104="","TBD",W104+AR104)</f>
        <v>TBD</v>
      </c>
      <c r="AT104" s="353">
        <v>250000</v>
      </c>
      <c r="AU104" s="258"/>
      <c r="AV104" s="263" t="str">
        <f>IF(AA104="","TBD",AA104+AU104)</f>
        <v>TBD</v>
      </c>
      <c r="AW104" s="288">
        <v>1250000</v>
      </c>
      <c r="AX104" s="289">
        <f>SUM(AW104,AT104)</f>
        <v>1500000</v>
      </c>
    </row>
    <row r="105" spans="1:56" x14ac:dyDescent="0.3">
      <c r="A105" s="222">
        <v>2024</v>
      </c>
      <c r="B105" s="222" t="s">
        <v>35</v>
      </c>
      <c r="C105" s="377" t="s">
        <v>175</v>
      </c>
      <c r="D105" s="377" t="s">
        <v>177</v>
      </c>
      <c r="E105" s="377" t="s">
        <v>75</v>
      </c>
      <c r="F105" s="377" t="s">
        <v>590</v>
      </c>
      <c r="G105" s="378">
        <v>40000000</v>
      </c>
      <c r="H105" s="379" t="s">
        <v>42</v>
      </c>
      <c r="I105" s="380" t="s">
        <v>503</v>
      </c>
      <c r="J105" s="341">
        <v>600</v>
      </c>
      <c r="K105" s="381">
        <v>1</v>
      </c>
      <c r="L105" s="382" t="s">
        <v>48</v>
      </c>
      <c r="M105" s="383" t="s">
        <v>100</v>
      </c>
      <c r="N105" s="384" t="str">
        <f t="shared" ref="N105" si="15">IF(L105="Broker","","Yes")</f>
        <v>Yes</v>
      </c>
      <c r="O105" s="385">
        <v>17.5</v>
      </c>
      <c r="P105" s="385"/>
      <c r="Q105" s="386"/>
      <c r="R105" s="386"/>
      <c r="S105" s="387"/>
      <c r="T105" s="319"/>
      <c r="U105" s="211"/>
      <c r="V105" s="211"/>
      <c r="W105" s="211"/>
      <c r="X105" s="211"/>
      <c r="Y105" s="211"/>
      <c r="Z105" s="211"/>
      <c r="AA105" s="255"/>
      <c r="AB105" s="211"/>
      <c r="AC105" s="255"/>
      <c r="AD105" s="210"/>
      <c r="AE105" s="258"/>
      <c r="AF105" s="258"/>
      <c r="AG105" s="258"/>
      <c r="AH105" s="258"/>
      <c r="AI105" s="258"/>
      <c r="AJ105" s="258"/>
      <c r="AK105" s="258"/>
      <c r="AL105" s="258"/>
      <c r="AM105" s="258"/>
      <c r="AN105" s="258"/>
      <c r="AO105" s="258"/>
      <c r="AP105" s="258"/>
      <c r="AQ105" s="211"/>
      <c r="AR105" s="211"/>
      <c r="AS105" s="255"/>
      <c r="AT105" s="210"/>
      <c r="AU105" s="211"/>
      <c r="AV105" s="255"/>
      <c r="AW105" s="210"/>
      <c r="AX105" s="210"/>
      <c r="AY105" s="266"/>
      <c r="AZ105" s="266"/>
      <c r="BA105" s="266"/>
      <c r="BB105" s="266"/>
      <c r="BC105" s="266"/>
    </row>
    <row r="106" spans="1:56" x14ac:dyDescent="0.3">
      <c r="A106" s="222">
        <v>2026</v>
      </c>
      <c r="B106" s="222"/>
      <c r="C106" s="388" t="s">
        <v>591</v>
      </c>
      <c r="D106" s="373" t="s">
        <v>592</v>
      </c>
      <c r="E106" s="373" t="s">
        <v>215</v>
      </c>
      <c r="F106" s="389" t="s">
        <v>593</v>
      </c>
      <c r="G106" s="390" t="s">
        <v>42</v>
      </c>
      <c r="H106" s="391" t="s">
        <v>42</v>
      </c>
      <c r="I106" s="360" t="s">
        <v>531</v>
      </c>
      <c r="J106" s="341">
        <v>225</v>
      </c>
      <c r="K106" s="341" t="s">
        <v>42</v>
      </c>
      <c r="L106" s="392" t="s">
        <v>32</v>
      </c>
      <c r="M106" s="310"/>
      <c r="N106" s="393"/>
      <c r="O106" s="374"/>
      <c r="S106" s="394" t="s">
        <v>594</v>
      </c>
      <c r="T106" s="356"/>
      <c r="U106" s="258"/>
      <c r="V106" s="258"/>
      <c r="W106" s="258"/>
      <c r="X106" s="258"/>
      <c r="Y106" s="258"/>
      <c r="Z106" s="258"/>
      <c r="AA106" s="263"/>
      <c r="AB106" s="258"/>
      <c r="AC106" s="263"/>
      <c r="AD106" s="353"/>
      <c r="AE106" s="258"/>
      <c r="AF106" s="258"/>
      <c r="AG106" s="258"/>
      <c r="AH106" s="258"/>
      <c r="AI106" s="258"/>
      <c r="AJ106" s="258"/>
      <c r="AK106" s="258"/>
      <c r="AL106" s="258"/>
      <c r="AM106" s="258"/>
      <c r="AN106" s="258"/>
      <c r="AO106" s="258"/>
      <c r="AP106" s="258"/>
      <c r="AQ106" s="258"/>
      <c r="AR106" s="258"/>
      <c r="AS106" s="263"/>
      <c r="AT106" s="353"/>
      <c r="AU106" s="258"/>
      <c r="AV106" s="263"/>
      <c r="AW106" s="353"/>
      <c r="AX106" s="353"/>
      <c r="AY106" s="266"/>
      <c r="AZ106" s="266"/>
      <c r="BA106" s="266"/>
      <c r="BB106" s="266"/>
      <c r="BC106" s="266"/>
    </row>
    <row r="107" spans="1:56" ht="16.2" thickBot="1" x14ac:dyDescent="0.35">
      <c r="A107" s="222"/>
      <c r="B107" s="222"/>
      <c r="C107" s="282"/>
      <c r="D107" s="282"/>
      <c r="E107" s="282"/>
      <c r="F107" s="282"/>
      <c r="G107" s="283"/>
      <c r="H107" s="286"/>
      <c r="I107" s="258"/>
      <c r="J107" s="285"/>
      <c r="K107" s="286"/>
      <c r="L107" s="258"/>
      <c r="M107" s="258"/>
      <c r="N107" s="258"/>
      <c r="O107" s="376"/>
      <c r="P107" s="258"/>
      <c r="Q107" s="263"/>
      <c r="R107" s="263"/>
      <c r="S107" s="282"/>
      <c r="T107" s="282"/>
      <c r="U107" s="258"/>
      <c r="V107" s="258"/>
      <c r="W107" s="258"/>
      <c r="X107" s="258"/>
      <c r="Y107" s="258"/>
      <c r="Z107" s="258"/>
      <c r="AA107" s="263"/>
      <c r="AB107" s="258"/>
      <c r="AC107" s="263"/>
      <c r="AD107" s="353"/>
      <c r="AE107" s="258"/>
      <c r="AF107" s="258"/>
      <c r="AG107" s="258"/>
      <c r="AH107" s="258"/>
      <c r="AI107" s="258"/>
      <c r="AJ107" s="258"/>
      <c r="AK107" s="258"/>
      <c r="AL107" s="258"/>
      <c r="AM107" s="258"/>
      <c r="AN107" s="258"/>
      <c r="AO107" s="258"/>
      <c r="AP107" s="258"/>
      <c r="AQ107" s="258"/>
      <c r="AR107" s="258"/>
      <c r="AS107" s="263"/>
      <c r="AT107" s="353"/>
      <c r="AU107" s="258"/>
      <c r="AV107" s="263"/>
      <c r="AW107" s="353"/>
      <c r="AX107" s="353"/>
    </row>
    <row r="108" spans="1:56" ht="16.2" thickTop="1" x14ac:dyDescent="0.3">
      <c r="A108" s="222"/>
      <c r="B108" s="222"/>
      <c r="C108" s="331" t="s">
        <v>595</v>
      </c>
      <c r="D108" s="332">
        <f>COUNTA(C68:C107)</f>
        <v>39</v>
      </c>
      <c r="E108" s="331"/>
      <c r="F108" s="332"/>
      <c r="G108" s="395">
        <f>SUM(G68:G107)</f>
        <v>622000000</v>
      </c>
      <c r="H108" s="396"/>
      <c r="I108" s="332"/>
      <c r="J108" s="397">
        <f>SUM(J68:J107)</f>
        <v>8810</v>
      </c>
      <c r="K108" s="396"/>
      <c r="L108" s="324">
        <f>COUNTIF(L68:L107,"Off-Market")</f>
        <v>29</v>
      </c>
      <c r="M108" s="332"/>
      <c r="N108" s="332"/>
      <c r="O108" s="329">
        <f>SUM(O68:O107)</f>
        <v>199.91000000000003</v>
      </c>
      <c r="P108" s="324"/>
      <c r="Q108" s="330"/>
      <c r="R108" s="330"/>
      <c r="S108" s="331"/>
      <c r="T108" s="331"/>
      <c r="U108" s="332"/>
      <c r="V108" s="332"/>
      <c r="W108" s="332"/>
      <c r="X108" s="332"/>
      <c r="Y108" s="332"/>
      <c r="Z108" s="332"/>
      <c r="AA108" s="333"/>
      <c r="AB108" s="332"/>
      <c r="AC108" s="333"/>
      <c r="AD108" s="334"/>
      <c r="AE108" s="332"/>
      <c r="AF108" s="332"/>
      <c r="AG108" s="332"/>
      <c r="AH108" s="332"/>
      <c r="AI108" s="332"/>
      <c r="AJ108" s="332"/>
      <c r="AK108" s="332"/>
      <c r="AL108" s="332"/>
      <c r="AM108" s="332"/>
      <c r="AN108" s="332"/>
      <c r="AO108" s="332"/>
      <c r="AP108" s="332"/>
      <c r="AQ108" s="332"/>
      <c r="AR108" s="332"/>
      <c r="AS108" s="333"/>
      <c r="AT108" s="334"/>
      <c r="AU108" s="332"/>
      <c r="AV108" s="333"/>
      <c r="AW108" s="334"/>
      <c r="AX108" s="334"/>
    </row>
    <row r="109" spans="1:56" ht="15.75" hidden="1" customHeight="1" outlineLevel="1" x14ac:dyDescent="0.3">
      <c r="A109" s="290">
        <f>COUNTIF(B68:B107,"&lt;&gt;")</f>
        <v>17</v>
      </c>
      <c r="B109" s="291" t="s">
        <v>521</v>
      </c>
      <c r="C109" s="205"/>
      <c r="D109" s="205"/>
      <c r="E109" s="205"/>
      <c r="F109" s="205"/>
      <c r="G109" s="205"/>
      <c r="H109" s="212"/>
      <c r="I109" s="205"/>
      <c r="J109" s="205"/>
      <c r="K109" s="293"/>
      <c r="L109" s="293" t="s">
        <v>85</v>
      </c>
      <c r="M109" s="205"/>
      <c r="N109" s="205"/>
      <c r="O109" s="205"/>
      <c r="P109" s="205"/>
      <c r="Q109" s="206"/>
      <c r="R109" s="206"/>
      <c r="S109" s="205"/>
      <c r="T109" s="205"/>
      <c r="U109" s="205"/>
      <c r="V109" s="205"/>
      <c r="W109" s="205"/>
      <c r="X109" s="205"/>
      <c r="Y109" s="205"/>
      <c r="Z109" s="205"/>
      <c r="AA109" s="206"/>
      <c r="AB109" s="205"/>
      <c r="AC109" s="206"/>
      <c r="AD109" s="218"/>
      <c r="AE109" s="205"/>
      <c r="AF109" s="205"/>
      <c r="AG109" s="205"/>
      <c r="AH109" s="205"/>
      <c r="AI109" s="205"/>
      <c r="AJ109" s="205"/>
      <c r="AK109" s="205"/>
      <c r="AL109" s="205"/>
      <c r="AM109" s="205"/>
      <c r="AN109" s="205"/>
      <c r="AO109" s="205"/>
      <c r="AP109" s="205"/>
      <c r="AQ109" s="205"/>
      <c r="AR109" s="205"/>
      <c r="AS109" s="206"/>
      <c r="AT109" s="218"/>
      <c r="AU109" s="205"/>
      <c r="AV109" s="206"/>
      <c r="AW109" s="218"/>
      <c r="AX109" s="218"/>
      <c r="AY109" s="266"/>
      <c r="AZ109" s="266"/>
      <c r="BA109" s="266"/>
      <c r="BB109" s="266"/>
      <c r="BC109" s="266"/>
      <c r="BD109" s="266"/>
    </row>
    <row r="110" spans="1:56" ht="15.75" hidden="1" customHeight="1" outlineLevel="1" x14ac:dyDescent="0.3">
      <c r="A110" s="222">
        <f>COUNTIF(A68:A107,"2023")</f>
        <v>7</v>
      </c>
      <c r="B110" s="296" t="s">
        <v>84</v>
      </c>
      <c r="C110" s="205"/>
      <c r="D110" s="205"/>
      <c r="E110" s="205"/>
      <c r="F110" s="205"/>
      <c r="G110" s="205"/>
      <c r="H110" s="212"/>
      <c r="I110" s="205"/>
      <c r="J110" s="205"/>
      <c r="K110" s="293"/>
      <c r="L110" s="293"/>
      <c r="M110" s="205"/>
      <c r="N110" s="205"/>
      <c r="O110" s="205"/>
      <c r="P110" s="205"/>
      <c r="Q110" s="206"/>
      <c r="R110" s="206"/>
      <c r="S110" s="205"/>
      <c r="T110" s="205"/>
      <c r="U110" s="205"/>
      <c r="V110" s="205"/>
      <c r="W110" s="205"/>
      <c r="X110" s="205"/>
      <c r="Y110" s="205"/>
      <c r="Z110" s="205"/>
      <c r="AA110" s="206"/>
      <c r="AB110" s="205"/>
      <c r="AC110" s="206"/>
      <c r="AD110" s="218"/>
      <c r="AE110" s="205"/>
      <c r="AF110" s="205"/>
      <c r="AG110" s="205"/>
      <c r="AH110" s="205"/>
      <c r="AI110" s="205"/>
      <c r="AJ110" s="205"/>
      <c r="AK110" s="205"/>
      <c r="AL110" s="205"/>
      <c r="AM110" s="205"/>
      <c r="AN110" s="205"/>
      <c r="AO110" s="205"/>
      <c r="AP110" s="205"/>
      <c r="AQ110" s="205"/>
      <c r="AR110" s="205"/>
      <c r="AS110" s="206"/>
      <c r="AT110" s="218"/>
      <c r="AU110" s="205"/>
      <c r="AV110" s="206"/>
      <c r="AW110" s="218"/>
      <c r="AX110" s="218"/>
      <c r="AY110" s="266"/>
      <c r="AZ110" s="266"/>
      <c r="BA110" s="266"/>
      <c r="BB110" s="266"/>
      <c r="BC110" s="266"/>
      <c r="BD110" s="266"/>
    </row>
    <row r="111" spans="1:56" s="266" customFormat="1" ht="15.75" hidden="1" customHeight="1" outlineLevel="1" x14ac:dyDescent="0.3">
      <c r="A111" s="222">
        <f>COUNTIF(A68:A107,"2024")</f>
        <v>18</v>
      </c>
      <c r="B111" s="296" t="s">
        <v>86</v>
      </c>
      <c r="C111" s="205"/>
      <c r="D111" s="205"/>
      <c r="E111" s="205"/>
      <c r="F111" s="205"/>
      <c r="G111" s="205"/>
      <c r="H111" s="212"/>
      <c r="I111" s="205"/>
      <c r="J111" s="205"/>
      <c r="K111" s="293"/>
      <c r="L111" s="205"/>
      <c r="M111" s="205"/>
      <c r="N111" s="205"/>
      <c r="O111" s="205"/>
      <c r="P111" s="205"/>
      <c r="Q111" s="206"/>
      <c r="R111" s="206"/>
      <c r="S111" s="205"/>
      <c r="T111" s="205"/>
      <c r="U111" s="205"/>
      <c r="V111" s="205"/>
      <c r="W111" s="205"/>
      <c r="X111" s="205"/>
      <c r="Y111" s="205"/>
      <c r="Z111" s="205"/>
      <c r="AA111" s="206"/>
      <c r="AB111" s="205"/>
      <c r="AC111" s="206"/>
      <c r="AD111" s="218"/>
      <c r="AE111" s="205"/>
      <c r="AF111" s="205"/>
      <c r="AG111" s="205"/>
      <c r="AH111" s="205"/>
      <c r="AI111" s="205"/>
      <c r="AJ111" s="205"/>
      <c r="AK111" s="205"/>
      <c r="AL111" s="205"/>
      <c r="AM111" s="205"/>
      <c r="AN111" s="205"/>
      <c r="AO111" s="205"/>
      <c r="AP111" s="205"/>
      <c r="AQ111" s="205"/>
      <c r="AR111" s="205"/>
      <c r="AS111" s="206"/>
      <c r="AT111" s="218"/>
      <c r="AU111" s="205"/>
      <c r="AV111" s="206"/>
      <c r="AW111" s="218"/>
      <c r="AX111" s="218"/>
    </row>
    <row r="112" spans="1:56" ht="15.75" hidden="1" customHeight="1" outlineLevel="1" x14ac:dyDescent="0.3">
      <c r="A112" s="222">
        <f>COUNTIF(A68:A107,"2025")</f>
        <v>13</v>
      </c>
      <c r="B112" s="296" t="s">
        <v>87</v>
      </c>
      <c r="C112" s="205"/>
      <c r="D112" s="205"/>
      <c r="E112" s="205"/>
      <c r="F112" s="205"/>
      <c r="G112" s="205"/>
      <c r="H112" s="212"/>
      <c r="I112" s="205"/>
      <c r="J112" s="205"/>
      <c r="K112" s="297"/>
      <c r="L112" s="266"/>
      <c r="M112" s="205"/>
      <c r="N112" s="205"/>
      <c r="O112" s="205"/>
      <c r="P112" s="205"/>
      <c r="Q112" s="206"/>
      <c r="R112" s="206"/>
      <c r="S112" s="205"/>
      <c r="T112" s="205"/>
      <c r="U112" s="205"/>
      <c r="V112" s="205"/>
      <c r="W112" s="205"/>
      <c r="X112" s="205"/>
      <c r="Y112" s="205"/>
      <c r="Z112" s="205"/>
      <c r="AA112" s="206"/>
      <c r="AB112" s="205"/>
      <c r="AC112" s="206"/>
      <c r="AD112" s="218"/>
      <c r="AE112" s="205"/>
      <c r="AF112" s="205"/>
      <c r="AG112" s="205"/>
      <c r="AH112" s="205"/>
      <c r="AI112" s="205"/>
      <c r="AJ112" s="205"/>
      <c r="AK112" s="205"/>
      <c r="AL112" s="205"/>
      <c r="AM112" s="205"/>
      <c r="AN112" s="205"/>
      <c r="AO112" s="205"/>
      <c r="AP112" s="205"/>
      <c r="AQ112" s="205"/>
      <c r="AR112" s="205"/>
      <c r="AS112" s="206"/>
      <c r="AT112" s="218"/>
      <c r="AU112" s="205"/>
      <c r="AV112" s="206"/>
      <c r="AW112" s="218"/>
      <c r="AX112" s="218"/>
      <c r="AY112" s="266"/>
      <c r="AZ112" s="266"/>
      <c r="BA112" s="266"/>
      <c r="BB112" s="266"/>
      <c r="BC112" s="266"/>
      <c r="BD112" s="266"/>
    </row>
    <row r="113" spans="1:56" ht="15.75" hidden="1" customHeight="1" outlineLevel="1" x14ac:dyDescent="0.3">
      <c r="A113" s="222">
        <f>COUNTIF(A68:A107,"2026")</f>
        <v>1</v>
      </c>
      <c r="B113" s="296" t="s">
        <v>522</v>
      </c>
      <c r="C113" s="205"/>
      <c r="D113" s="205"/>
      <c r="E113" s="205"/>
      <c r="F113" s="205"/>
      <c r="G113" s="205"/>
      <c r="H113" s="212"/>
      <c r="I113" s="205"/>
      <c r="J113" s="205"/>
      <c r="K113" s="297"/>
      <c r="L113" s="266"/>
      <c r="M113" s="205"/>
      <c r="N113" s="205"/>
      <c r="O113" s="205"/>
      <c r="P113" s="205"/>
      <c r="Q113" s="206"/>
      <c r="R113" s="206"/>
      <c r="S113" s="205"/>
      <c r="T113" s="205"/>
      <c r="U113" s="205"/>
      <c r="V113" s="205"/>
      <c r="W113" s="205"/>
      <c r="X113" s="205"/>
      <c r="Y113" s="205"/>
      <c r="Z113" s="205"/>
      <c r="AA113" s="206"/>
      <c r="AB113" s="205"/>
      <c r="AC113" s="206"/>
      <c r="AD113" s="218"/>
      <c r="AE113" s="205"/>
      <c r="AF113" s="205"/>
      <c r="AG113" s="205"/>
      <c r="AH113" s="205"/>
      <c r="AI113" s="205"/>
      <c r="AJ113" s="205"/>
      <c r="AK113" s="205"/>
      <c r="AL113" s="205"/>
      <c r="AM113" s="205"/>
      <c r="AN113" s="205"/>
      <c r="AO113" s="205"/>
      <c r="AP113" s="205"/>
      <c r="AQ113" s="205"/>
      <c r="AR113" s="205"/>
      <c r="AS113" s="206"/>
      <c r="AT113" s="218"/>
      <c r="AU113" s="205"/>
      <c r="AV113" s="206"/>
      <c r="AW113" s="218"/>
      <c r="AX113" s="218"/>
      <c r="AY113" s="266"/>
      <c r="AZ113" s="266"/>
      <c r="BA113" s="266"/>
      <c r="BB113" s="266"/>
      <c r="BC113" s="266"/>
      <c r="BD113" s="266"/>
    </row>
    <row r="114" spans="1:56" s="266" customFormat="1" collapsed="1" x14ac:dyDescent="0.3">
      <c r="A114" s="222"/>
      <c r="B114" s="222"/>
      <c r="G114" s="205"/>
      <c r="H114" s="212"/>
      <c r="I114" s="205"/>
      <c r="J114" s="205"/>
      <c r="K114" s="205"/>
      <c r="L114" s="205"/>
      <c r="M114" s="205"/>
      <c r="N114" s="205"/>
      <c r="O114" s="298"/>
      <c r="P114" s="205"/>
      <c r="Q114" s="206"/>
      <c r="R114" s="206"/>
      <c r="U114" s="205"/>
      <c r="V114" s="205"/>
      <c r="W114" s="205"/>
      <c r="X114" s="205"/>
      <c r="Y114" s="205"/>
      <c r="Z114" s="205"/>
      <c r="AA114" s="206"/>
      <c r="AB114" s="205"/>
      <c r="AC114" s="206"/>
      <c r="AD114" s="218"/>
      <c r="AE114" s="205"/>
      <c r="AF114" s="205"/>
      <c r="AG114" s="205"/>
      <c r="AH114" s="205"/>
      <c r="AI114" s="205"/>
      <c r="AJ114" s="205"/>
      <c r="AK114" s="205"/>
      <c r="AL114" s="205"/>
      <c r="AM114" s="205"/>
      <c r="AN114" s="205"/>
      <c r="AO114" s="205"/>
      <c r="AP114" s="205"/>
      <c r="AQ114" s="205"/>
      <c r="AR114" s="205"/>
      <c r="AS114" s="206"/>
      <c r="AT114" s="218"/>
      <c r="AU114" s="205"/>
      <c r="AV114" s="206"/>
      <c r="AW114" s="218"/>
      <c r="AX114" s="218"/>
    </row>
    <row r="115" spans="1:56" x14ac:dyDescent="0.3">
      <c r="A115" s="222"/>
      <c r="B115" s="222"/>
      <c r="C115" s="232" t="s">
        <v>467</v>
      </c>
      <c r="D115" s="368"/>
      <c r="E115" s="368"/>
      <c r="F115" s="368"/>
      <c r="G115" s="369"/>
      <c r="H115" s="235"/>
      <c r="I115" s="234"/>
      <c r="J115" s="234"/>
      <c r="K115" s="234"/>
      <c r="L115" s="234"/>
      <c r="M115" s="234"/>
      <c r="N115" s="234"/>
      <c r="O115" s="346"/>
      <c r="P115" s="234"/>
      <c r="Q115" s="236"/>
      <c r="R115" s="236"/>
      <c r="S115" s="368"/>
      <c r="T115" s="368"/>
      <c r="U115" s="234"/>
      <c r="V115" s="234"/>
      <c r="W115" s="234"/>
      <c r="X115" s="234"/>
      <c r="Y115" s="234"/>
      <c r="Z115" s="234"/>
      <c r="AA115" s="236"/>
      <c r="AB115" s="234"/>
      <c r="AC115" s="236"/>
      <c r="AD115" s="347"/>
      <c r="AE115" s="234"/>
      <c r="AF115" s="234"/>
      <c r="AG115" s="234"/>
      <c r="AH115" s="234"/>
      <c r="AI115" s="234"/>
      <c r="AJ115" s="234"/>
      <c r="AK115" s="234"/>
      <c r="AL115" s="234"/>
      <c r="AM115" s="234"/>
      <c r="AN115" s="234"/>
      <c r="AO115" s="234"/>
      <c r="AP115" s="234"/>
      <c r="AQ115" s="234"/>
      <c r="AR115" s="234"/>
      <c r="AS115" s="236"/>
      <c r="AT115" s="347"/>
      <c r="AU115" s="234"/>
      <c r="AV115" s="236"/>
      <c r="AW115" s="347"/>
      <c r="AX115" s="347"/>
    </row>
    <row r="116" spans="1:56" x14ac:dyDescent="0.3">
      <c r="A116" s="222">
        <v>2023</v>
      </c>
      <c r="B116" s="222" t="s">
        <v>35</v>
      </c>
      <c r="C116" s="370" t="s">
        <v>191</v>
      </c>
      <c r="D116" s="370" t="s">
        <v>192</v>
      </c>
      <c r="E116" s="370" t="s">
        <v>75</v>
      </c>
      <c r="F116" s="370" t="s">
        <v>596</v>
      </c>
      <c r="G116" s="371">
        <v>7500000</v>
      </c>
      <c r="H116" s="286" t="s">
        <v>42</v>
      </c>
      <c r="I116" s="211" t="s">
        <v>503</v>
      </c>
      <c r="J116" s="285"/>
      <c r="K116" s="219">
        <v>1</v>
      </c>
      <c r="L116" s="211" t="s">
        <v>32</v>
      </c>
      <c r="M116" s="211" t="s">
        <v>110</v>
      </c>
      <c r="N116" s="211" t="str">
        <f t="shared" ref="N116:N132" si="16">IF(L116="Broker","","Yes")</f>
        <v/>
      </c>
      <c r="O116" s="211">
        <v>4.5</v>
      </c>
      <c r="P116" s="211"/>
      <c r="Q116" s="255"/>
      <c r="R116" s="255"/>
      <c r="S116" s="370" t="s">
        <v>193</v>
      </c>
      <c r="T116" s="370"/>
      <c r="U116" s="211"/>
      <c r="V116" s="211"/>
      <c r="W116" s="211"/>
      <c r="X116" s="211"/>
      <c r="Y116" s="211"/>
      <c r="Z116" s="211"/>
      <c r="AA116" s="255"/>
      <c r="AB116" s="211"/>
      <c r="AC116" s="255"/>
      <c r="AD116" s="210"/>
      <c r="AE116" s="211"/>
      <c r="AF116" s="211"/>
      <c r="AG116" s="211"/>
      <c r="AH116" s="211"/>
      <c r="AI116" s="211"/>
      <c r="AJ116" s="211"/>
      <c r="AK116" s="211"/>
      <c r="AL116" s="211"/>
      <c r="AM116" s="211"/>
      <c r="AN116" s="211"/>
      <c r="AO116" s="211"/>
      <c r="AP116" s="211"/>
      <c r="AQ116" s="211"/>
      <c r="AR116" s="211"/>
      <c r="AS116" s="255"/>
      <c r="AT116" s="210"/>
      <c r="AU116" s="211"/>
      <c r="AV116" s="255"/>
      <c r="AW116" s="210"/>
      <c r="AX116" s="210"/>
      <c r="AY116" s="266"/>
      <c r="AZ116" s="266"/>
      <c r="BA116" s="266"/>
      <c r="BB116" s="266"/>
    </row>
    <row r="117" spans="1:56" x14ac:dyDescent="0.3">
      <c r="A117" s="222">
        <v>2023</v>
      </c>
      <c r="B117" s="222" t="s">
        <v>35</v>
      </c>
      <c r="C117" s="370" t="s">
        <v>196</v>
      </c>
      <c r="D117" s="377" t="s">
        <v>197</v>
      </c>
      <c r="E117" s="377" t="s">
        <v>198</v>
      </c>
      <c r="F117" s="370" t="s">
        <v>596</v>
      </c>
      <c r="G117" s="398">
        <v>7800000</v>
      </c>
      <c r="H117" s="286" t="s">
        <v>42</v>
      </c>
      <c r="I117" s="211" t="s">
        <v>503</v>
      </c>
      <c r="J117" s="285"/>
      <c r="K117" s="379"/>
      <c r="L117" s="211" t="s">
        <v>32</v>
      </c>
      <c r="M117" s="380" t="s">
        <v>547</v>
      </c>
      <c r="N117" s="211" t="str">
        <f t="shared" si="16"/>
        <v/>
      </c>
      <c r="O117" s="211"/>
      <c r="P117" s="211"/>
      <c r="Q117" s="255"/>
      <c r="R117" s="255"/>
      <c r="S117" s="370" t="s">
        <v>199</v>
      </c>
      <c r="T117" s="370"/>
      <c r="U117" s="211"/>
      <c r="V117" s="211"/>
      <c r="W117" s="211"/>
      <c r="X117" s="211"/>
      <c r="Y117" s="211"/>
      <c r="Z117" s="211"/>
      <c r="AA117" s="255"/>
      <c r="AB117" s="211"/>
      <c r="AC117" s="255"/>
      <c r="AD117" s="210"/>
      <c r="AE117" s="211"/>
      <c r="AF117" s="211"/>
      <c r="AG117" s="211"/>
      <c r="AH117" s="211"/>
      <c r="AI117" s="211"/>
      <c r="AJ117" s="211"/>
      <c r="AK117" s="211"/>
      <c r="AL117" s="211"/>
      <c r="AM117" s="211"/>
      <c r="AN117" s="211"/>
      <c r="AO117" s="211"/>
      <c r="AP117" s="211"/>
      <c r="AQ117" s="211"/>
      <c r="AR117" s="211"/>
      <c r="AS117" s="255"/>
      <c r="AT117" s="210"/>
      <c r="AU117" s="211"/>
      <c r="AV117" s="255"/>
      <c r="AW117" s="210"/>
      <c r="AX117" s="210"/>
      <c r="AY117" s="266"/>
      <c r="AZ117" s="266"/>
      <c r="BA117" s="266"/>
      <c r="BB117" s="266"/>
    </row>
    <row r="118" spans="1:56" x14ac:dyDescent="0.3">
      <c r="A118" s="222">
        <v>2023</v>
      </c>
      <c r="B118" s="222" t="s">
        <v>35</v>
      </c>
      <c r="C118" s="370" t="s">
        <v>200</v>
      </c>
      <c r="D118" s="282" t="s">
        <v>201</v>
      </c>
      <c r="E118" s="282" t="s">
        <v>75</v>
      </c>
      <c r="F118" s="282" t="s">
        <v>596</v>
      </c>
      <c r="G118" s="283">
        <v>10000000</v>
      </c>
      <c r="H118" s="286" t="s">
        <v>42</v>
      </c>
      <c r="I118" s="258" t="s">
        <v>503</v>
      </c>
      <c r="J118" s="399"/>
      <c r="K118" s="286">
        <v>1</v>
      </c>
      <c r="L118" s="258" t="s">
        <v>48</v>
      </c>
      <c r="M118" s="258" t="s">
        <v>100</v>
      </c>
      <c r="N118" s="211" t="str">
        <f t="shared" si="16"/>
        <v>Yes</v>
      </c>
      <c r="O118" s="211"/>
      <c r="P118" s="211"/>
      <c r="Q118" s="255"/>
      <c r="R118" s="255"/>
      <c r="S118" s="370" t="s">
        <v>597</v>
      </c>
      <c r="T118" s="370"/>
      <c r="U118" s="211"/>
      <c r="V118" s="211"/>
      <c r="W118" s="211"/>
      <c r="X118" s="211"/>
      <c r="Y118" s="211"/>
      <c r="Z118" s="211"/>
      <c r="AA118" s="255"/>
      <c r="AB118" s="211"/>
      <c r="AC118" s="255"/>
      <c r="AD118" s="210"/>
      <c r="AE118" s="211"/>
      <c r="AF118" s="211"/>
      <c r="AG118" s="211"/>
      <c r="AH118" s="211"/>
      <c r="AI118" s="211"/>
      <c r="AJ118" s="211"/>
      <c r="AK118" s="211"/>
      <c r="AL118" s="211"/>
      <c r="AM118" s="211"/>
      <c r="AN118" s="211"/>
      <c r="AO118" s="211"/>
      <c r="AP118" s="211"/>
      <c r="AQ118" s="211"/>
      <c r="AR118" s="211"/>
      <c r="AS118" s="255"/>
      <c r="AT118" s="210"/>
      <c r="AU118" s="211"/>
      <c r="AV118" s="255"/>
      <c r="AW118" s="210"/>
      <c r="AX118" s="210"/>
      <c r="AY118" s="266"/>
      <c r="AZ118" s="266"/>
      <c r="BA118" s="266"/>
      <c r="BB118" s="266"/>
    </row>
    <row r="119" spans="1:56" x14ac:dyDescent="0.3">
      <c r="A119" s="222">
        <v>2023</v>
      </c>
      <c r="B119" s="222" t="s">
        <v>35</v>
      </c>
      <c r="C119" s="370" t="s">
        <v>203</v>
      </c>
      <c r="D119" s="377" t="s">
        <v>204</v>
      </c>
      <c r="E119" s="377" t="s">
        <v>130</v>
      </c>
      <c r="F119" s="370" t="s">
        <v>596</v>
      </c>
      <c r="G119" s="398">
        <v>11000000</v>
      </c>
      <c r="H119" s="286" t="s">
        <v>42</v>
      </c>
      <c r="I119" s="211" t="s">
        <v>503</v>
      </c>
      <c r="J119" s="285"/>
      <c r="K119" s="379">
        <v>0.85</v>
      </c>
      <c r="L119" s="211" t="s">
        <v>32</v>
      </c>
      <c r="M119" s="258" t="s">
        <v>100</v>
      </c>
      <c r="N119" s="211" t="str">
        <f t="shared" si="16"/>
        <v/>
      </c>
      <c r="O119" s="211"/>
      <c r="P119" s="211"/>
      <c r="Q119" s="255"/>
      <c r="R119" s="255"/>
      <c r="S119" s="370" t="s">
        <v>205</v>
      </c>
      <c r="T119" s="370"/>
      <c r="U119" s="211"/>
      <c r="V119" s="211"/>
      <c r="W119" s="211"/>
      <c r="X119" s="211"/>
      <c r="Y119" s="211"/>
      <c r="Z119" s="211"/>
      <c r="AA119" s="255"/>
      <c r="AB119" s="211"/>
      <c r="AC119" s="255"/>
      <c r="AD119" s="210"/>
      <c r="AE119" s="211"/>
      <c r="AF119" s="211"/>
      <c r="AG119" s="211"/>
      <c r="AH119" s="211"/>
      <c r="AI119" s="211"/>
      <c r="AJ119" s="211"/>
      <c r="AK119" s="211"/>
      <c r="AL119" s="211"/>
      <c r="AM119" s="211"/>
      <c r="AN119" s="211"/>
      <c r="AO119" s="211"/>
      <c r="AP119" s="211"/>
      <c r="AQ119" s="211"/>
      <c r="AR119" s="211"/>
      <c r="AS119" s="255"/>
      <c r="AT119" s="210"/>
      <c r="AU119" s="211"/>
      <c r="AV119" s="255"/>
      <c r="AW119" s="210"/>
      <c r="AX119" s="210"/>
      <c r="AY119" s="266"/>
      <c r="AZ119" s="266"/>
      <c r="BA119" s="266"/>
      <c r="BB119" s="266"/>
    </row>
    <row r="120" spans="1:56" x14ac:dyDescent="0.3">
      <c r="A120" s="222">
        <v>2023</v>
      </c>
      <c r="B120" s="222" t="s">
        <v>35</v>
      </c>
      <c r="C120" s="370" t="s">
        <v>206</v>
      </c>
      <c r="D120" s="377" t="s">
        <v>207</v>
      </c>
      <c r="E120" s="377" t="s">
        <v>208</v>
      </c>
      <c r="F120" s="370" t="s">
        <v>596</v>
      </c>
      <c r="G120" s="398">
        <v>8000000</v>
      </c>
      <c r="H120" s="286" t="s">
        <v>42</v>
      </c>
      <c r="I120" s="211" t="s">
        <v>503</v>
      </c>
      <c r="J120" s="285"/>
      <c r="K120" s="379"/>
      <c r="L120" s="211" t="s">
        <v>32</v>
      </c>
      <c r="M120" s="258" t="s">
        <v>100</v>
      </c>
      <c r="N120" s="211" t="str">
        <f t="shared" si="16"/>
        <v/>
      </c>
      <c r="O120" s="211"/>
      <c r="P120" s="211"/>
      <c r="Q120" s="255"/>
      <c r="R120" s="255"/>
      <c r="S120" s="370" t="s">
        <v>209</v>
      </c>
      <c r="T120" s="370"/>
      <c r="U120" s="211"/>
      <c r="V120" s="211"/>
      <c r="W120" s="211"/>
      <c r="X120" s="211"/>
      <c r="Y120" s="211"/>
      <c r="Z120" s="211"/>
      <c r="AA120" s="255"/>
      <c r="AB120" s="211"/>
      <c r="AC120" s="255"/>
      <c r="AD120" s="210"/>
      <c r="AE120" s="211"/>
      <c r="AF120" s="211"/>
      <c r="AG120" s="211"/>
      <c r="AH120" s="211"/>
      <c r="AI120" s="211"/>
      <c r="AJ120" s="211"/>
      <c r="AK120" s="211"/>
      <c r="AL120" s="211"/>
      <c r="AM120" s="211"/>
      <c r="AN120" s="211"/>
      <c r="AO120" s="211"/>
      <c r="AP120" s="211"/>
      <c r="AQ120" s="211"/>
      <c r="AR120" s="211"/>
      <c r="AS120" s="255"/>
      <c r="AT120" s="210"/>
      <c r="AU120" s="211"/>
      <c r="AV120" s="255"/>
      <c r="AW120" s="210"/>
      <c r="AX120" s="210"/>
      <c r="AY120" s="266"/>
      <c r="AZ120" s="266"/>
      <c r="BA120" s="266"/>
      <c r="BB120" s="266"/>
    </row>
    <row r="121" spans="1:56" x14ac:dyDescent="0.3">
      <c r="A121" s="222">
        <v>2024</v>
      </c>
      <c r="B121" s="222" t="s">
        <v>35</v>
      </c>
      <c r="C121" s="370" t="s">
        <v>210</v>
      </c>
      <c r="D121" s="370" t="s">
        <v>211</v>
      </c>
      <c r="E121" s="370" t="s">
        <v>57</v>
      </c>
      <c r="F121" s="370" t="s">
        <v>596</v>
      </c>
      <c r="G121" s="371">
        <v>6000000</v>
      </c>
      <c r="H121" s="286" t="s">
        <v>42</v>
      </c>
      <c r="I121" s="211" t="s">
        <v>503</v>
      </c>
      <c r="J121" s="285"/>
      <c r="K121" s="219">
        <v>1</v>
      </c>
      <c r="L121" s="211" t="s">
        <v>32</v>
      </c>
      <c r="M121" s="258" t="s">
        <v>100</v>
      </c>
      <c r="N121" s="211" t="str">
        <f t="shared" si="16"/>
        <v/>
      </c>
      <c r="O121" s="211">
        <v>27</v>
      </c>
      <c r="P121" s="211"/>
      <c r="Q121" s="255"/>
      <c r="R121" s="255"/>
      <c r="S121" s="370" t="s">
        <v>212</v>
      </c>
      <c r="T121" s="370"/>
      <c r="U121" s="211"/>
      <c r="V121" s="211"/>
      <c r="W121" s="211"/>
      <c r="X121" s="211"/>
      <c r="Y121" s="211"/>
      <c r="Z121" s="211"/>
      <c r="AA121" s="255"/>
      <c r="AB121" s="211"/>
      <c r="AC121" s="255"/>
      <c r="AD121" s="210"/>
      <c r="AE121" s="211"/>
      <c r="AF121" s="211"/>
      <c r="AG121" s="211"/>
      <c r="AH121" s="211"/>
      <c r="AI121" s="211"/>
      <c r="AJ121" s="211"/>
      <c r="AK121" s="211"/>
      <c r="AL121" s="211"/>
      <c r="AM121" s="211"/>
      <c r="AN121" s="211"/>
      <c r="AO121" s="211"/>
      <c r="AP121" s="211"/>
      <c r="AQ121" s="211"/>
      <c r="AR121" s="211"/>
      <c r="AS121" s="255"/>
      <c r="AT121" s="210"/>
      <c r="AU121" s="211"/>
      <c r="AV121" s="255"/>
      <c r="AW121" s="210"/>
      <c r="AX121" s="210"/>
      <c r="AY121" s="266"/>
      <c r="AZ121" s="266"/>
      <c r="BA121" s="266"/>
      <c r="BB121" s="266"/>
    </row>
    <row r="122" spans="1:56" x14ac:dyDescent="0.3">
      <c r="A122" s="222">
        <v>2024</v>
      </c>
      <c r="B122" s="222" t="s">
        <v>35</v>
      </c>
      <c r="C122" s="370" t="s">
        <v>213</v>
      </c>
      <c r="D122" s="377" t="s">
        <v>214</v>
      </c>
      <c r="E122" s="377" t="s">
        <v>215</v>
      </c>
      <c r="F122" s="370" t="s">
        <v>596</v>
      </c>
      <c r="G122" s="398">
        <v>5000000</v>
      </c>
      <c r="H122" s="286" t="s">
        <v>42</v>
      </c>
      <c r="I122" s="211" t="s">
        <v>503</v>
      </c>
      <c r="J122" s="285"/>
      <c r="K122" s="379">
        <v>1</v>
      </c>
      <c r="L122" s="380" t="s">
        <v>48</v>
      </c>
      <c r="M122" s="380"/>
      <c r="N122" s="211" t="str">
        <f t="shared" si="16"/>
        <v>Yes</v>
      </c>
      <c r="O122" s="211"/>
      <c r="P122" s="211"/>
      <c r="Q122" s="255"/>
      <c r="R122" s="255"/>
      <c r="S122" s="370" t="s">
        <v>216</v>
      </c>
      <c r="T122" s="370"/>
      <c r="U122" s="211"/>
      <c r="V122" s="211"/>
      <c r="W122" s="211"/>
      <c r="X122" s="211"/>
      <c r="Y122" s="211"/>
      <c r="Z122" s="211"/>
      <c r="AA122" s="255"/>
      <c r="AB122" s="211"/>
      <c r="AC122" s="255"/>
      <c r="AD122" s="210"/>
      <c r="AE122" s="211"/>
      <c r="AF122" s="211"/>
      <c r="AG122" s="211"/>
      <c r="AH122" s="211"/>
      <c r="AI122" s="211"/>
      <c r="AJ122" s="211"/>
      <c r="AK122" s="211"/>
      <c r="AL122" s="211"/>
      <c r="AM122" s="211"/>
      <c r="AN122" s="211"/>
      <c r="AO122" s="211"/>
      <c r="AP122" s="211"/>
      <c r="AQ122" s="211"/>
      <c r="AR122" s="211"/>
      <c r="AS122" s="255"/>
      <c r="AT122" s="210"/>
      <c r="AU122" s="211"/>
      <c r="AV122" s="255"/>
      <c r="AW122" s="210"/>
      <c r="AX122" s="210"/>
      <c r="AY122" s="266"/>
      <c r="AZ122" s="266"/>
      <c r="BA122" s="266"/>
      <c r="BB122" s="266"/>
    </row>
    <row r="123" spans="1:56" x14ac:dyDescent="0.3">
      <c r="A123" s="222">
        <v>2024</v>
      </c>
      <c r="B123" s="222" t="s">
        <v>35</v>
      </c>
      <c r="C123" s="370" t="s">
        <v>217</v>
      </c>
      <c r="D123" s="377" t="s">
        <v>218</v>
      </c>
      <c r="E123" s="377" t="s">
        <v>219</v>
      </c>
      <c r="F123" s="370" t="s">
        <v>596</v>
      </c>
      <c r="G123" s="398">
        <v>3500000</v>
      </c>
      <c r="H123" s="286" t="s">
        <v>42</v>
      </c>
      <c r="I123" s="211" t="s">
        <v>503</v>
      </c>
      <c r="J123" s="285"/>
      <c r="K123" s="379"/>
      <c r="L123" s="380" t="s">
        <v>48</v>
      </c>
      <c r="M123" s="380"/>
      <c r="N123" s="211" t="str">
        <f t="shared" si="16"/>
        <v>Yes</v>
      </c>
      <c r="O123" s="211"/>
      <c r="P123" s="211"/>
      <c r="Q123" s="255"/>
      <c r="R123" s="255"/>
      <c r="S123" s="370" t="s">
        <v>220</v>
      </c>
      <c r="T123" s="370"/>
      <c r="U123" s="211"/>
      <c r="V123" s="211"/>
      <c r="W123" s="211"/>
      <c r="X123" s="211"/>
      <c r="Y123" s="211"/>
      <c r="Z123" s="211"/>
      <c r="AA123" s="255"/>
      <c r="AB123" s="211"/>
      <c r="AC123" s="255"/>
      <c r="AD123" s="210"/>
      <c r="AE123" s="211"/>
      <c r="AF123" s="211"/>
      <c r="AG123" s="211"/>
      <c r="AH123" s="211"/>
      <c r="AI123" s="211"/>
      <c r="AJ123" s="211"/>
      <c r="AK123" s="211"/>
      <c r="AL123" s="211"/>
      <c r="AM123" s="211"/>
      <c r="AN123" s="211"/>
      <c r="AO123" s="211"/>
      <c r="AP123" s="211"/>
      <c r="AQ123" s="211"/>
      <c r="AR123" s="211"/>
      <c r="AS123" s="255"/>
      <c r="AT123" s="210"/>
      <c r="AU123" s="211"/>
      <c r="AV123" s="255"/>
      <c r="AW123" s="210"/>
      <c r="AX123" s="210"/>
      <c r="AY123" s="266"/>
      <c r="AZ123" s="266"/>
      <c r="BA123" s="266"/>
      <c r="BB123" s="266"/>
    </row>
    <row r="124" spans="1:56" x14ac:dyDescent="0.3">
      <c r="A124" s="222">
        <v>2024</v>
      </c>
      <c r="B124" s="222" t="s">
        <v>35</v>
      </c>
      <c r="C124" s="370" t="s">
        <v>221</v>
      </c>
      <c r="D124" s="377" t="s">
        <v>222</v>
      </c>
      <c r="E124" s="377" t="s">
        <v>219</v>
      </c>
      <c r="F124" s="370" t="s">
        <v>596</v>
      </c>
      <c r="G124" s="398">
        <v>2500000</v>
      </c>
      <c r="H124" s="286" t="s">
        <v>42</v>
      </c>
      <c r="I124" s="211" t="s">
        <v>503</v>
      </c>
      <c r="J124" s="285"/>
      <c r="K124" s="379"/>
      <c r="L124" s="380" t="s">
        <v>48</v>
      </c>
      <c r="M124" s="380"/>
      <c r="N124" s="211" t="str">
        <f t="shared" si="16"/>
        <v>Yes</v>
      </c>
      <c r="O124" s="211"/>
      <c r="P124" s="211"/>
      <c r="Q124" s="255"/>
      <c r="R124" s="255"/>
      <c r="S124" s="370"/>
      <c r="T124" s="370"/>
      <c r="U124" s="211"/>
      <c r="V124" s="211"/>
      <c r="W124" s="211"/>
      <c r="X124" s="211"/>
      <c r="Y124" s="211"/>
      <c r="Z124" s="211"/>
      <c r="AA124" s="255"/>
      <c r="AB124" s="211"/>
      <c r="AC124" s="255"/>
      <c r="AD124" s="210"/>
      <c r="AE124" s="211"/>
      <c r="AF124" s="211"/>
      <c r="AG124" s="211"/>
      <c r="AH124" s="211"/>
      <c r="AI124" s="211"/>
      <c r="AJ124" s="211"/>
      <c r="AK124" s="211"/>
      <c r="AL124" s="211"/>
      <c r="AM124" s="211"/>
      <c r="AN124" s="211"/>
      <c r="AO124" s="211"/>
      <c r="AP124" s="211"/>
      <c r="AQ124" s="211"/>
      <c r="AR124" s="211"/>
      <c r="AS124" s="255"/>
      <c r="AT124" s="210"/>
      <c r="AU124" s="211"/>
      <c r="AV124" s="255"/>
      <c r="AW124" s="210"/>
      <c r="AX124" s="210"/>
      <c r="AY124" s="266"/>
      <c r="AZ124" s="266"/>
      <c r="BA124" s="266"/>
      <c r="BB124" s="266"/>
    </row>
    <row r="125" spans="1:56" x14ac:dyDescent="0.3">
      <c r="A125" s="222">
        <v>2024</v>
      </c>
      <c r="B125" s="222" t="s">
        <v>35</v>
      </c>
      <c r="C125" s="370" t="s">
        <v>223</v>
      </c>
      <c r="D125" s="377" t="s">
        <v>224</v>
      </c>
      <c r="E125" s="377" t="s">
        <v>225</v>
      </c>
      <c r="F125" s="370" t="s">
        <v>596</v>
      </c>
      <c r="G125" s="398">
        <v>8500000</v>
      </c>
      <c r="H125" s="286" t="s">
        <v>42</v>
      </c>
      <c r="I125" s="211" t="s">
        <v>503</v>
      </c>
      <c r="J125" s="285"/>
      <c r="K125" s="379">
        <v>1</v>
      </c>
      <c r="L125" s="211" t="s">
        <v>32</v>
      </c>
      <c r="M125" s="380"/>
      <c r="N125" s="211" t="str">
        <f t="shared" si="16"/>
        <v/>
      </c>
      <c r="O125" s="211"/>
      <c r="P125" s="211"/>
      <c r="Q125" s="255"/>
      <c r="R125" s="255"/>
      <c r="S125" s="370" t="s">
        <v>226</v>
      </c>
      <c r="T125" s="370"/>
      <c r="U125" s="211"/>
      <c r="V125" s="211"/>
      <c r="W125" s="211"/>
      <c r="X125" s="211"/>
      <c r="Y125" s="211"/>
      <c r="Z125" s="211"/>
      <c r="AA125" s="255"/>
      <c r="AB125" s="211"/>
      <c r="AC125" s="255"/>
      <c r="AD125" s="210"/>
      <c r="AE125" s="211"/>
      <c r="AF125" s="211"/>
      <c r="AG125" s="211"/>
      <c r="AH125" s="211"/>
      <c r="AI125" s="211"/>
      <c r="AJ125" s="211"/>
      <c r="AK125" s="211"/>
      <c r="AL125" s="211"/>
      <c r="AM125" s="211"/>
      <c r="AN125" s="211"/>
      <c r="AO125" s="211"/>
      <c r="AP125" s="211"/>
      <c r="AQ125" s="211"/>
      <c r="AR125" s="211"/>
      <c r="AS125" s="255"/>
      <c r="AT125" s="210"/>
      <c r="AU125" s="211"/>
      <c r="AV125" s="255"/>
      <c r="AW125" s="210"/>
      <c r="AX125" s="210"/>
      <c r="AY125" s="266"/>
      <c r="AZ125" s="266"/>
      <c r="BA125" s="266"/>
      <c r="BB125" s="266"/>
    </row>
    <row r="126" spans="1:56" x14ac:dyDescent="0.3">
      <c r="A126" s="222">
        <v>2023</v>
      </c>
      <c r="B126" s="222" t="s">
        <v>35</v>
      </c>
      <c r="C126" s="370" t="s">
        <v>230</v>
      </c>
      <c r="D126" s="247" t="s">
        <v>231</v>
      </c>
      <c r="E126" s="247" t="s">
        <v>31</v>
      </c>
      <c r="F126" s="247" t="s">
        <v>596</v>
      </c>
      <c r="G126" s="248">
        <v>10000000</v>
      </c>
      <c r="H126" s="286" t="s">
        <v>42</v>
      </c>
      <c r="I126" s="250" t="s">
        <v>503</v>
      </c>
      <c r="J126" s="357"/>
      <c r="K126" s="252">
        <v>1</v>
      </c>
      <c r="L126" s="250" t="s">
        <v>32</v>
      </c>
      <c r="M126" s="250" t="s">
        <v>100</v>
      </c>
      <c r="N126" s="211" t="str">
        <f t="shared" si="16"/>
        <v/>
      </c>
      <c r="O126" s="211">
        <v>2</v>
      </c>
      <c r="P126" s="211"/>
      <c r="Q126" s="255"/>
      <c r="R126" s="255"/>
      <c r="S126" s="370" t="s">
        <v>598</v>
      </c>
      <c r="T126" s="370"/>
      <c r="U126" s="211"/>
      <c r="V126" s="211"/>
      <c r="W126" s="211"/>
      <c r="X126" s="211"/>
      <c r="Y126" s="211"/>
      <c r="Z126" s="211"/>
      <c r="AA126" s="255"/>
      <c r="AB126" s="211"/>
      <c r="AC126" s="255"/>
      <c r="AD126" s="210"/>
      <c r="AE126" s="211"/>
      <c r="AF126" s="211"/>
      <c r="AG126" s="211"/>
      <c r="AH126" s="211"/>
      <c r="AI126" s="211"/>
      <c r="AJ126" s="211"/>
      <c r="AK126" s="211"/>
      <c r="AL126" s="211"/>
      <c r="AM126" s="211"/>
      <c r="AN126" s="211"/>
      <c r="AO126" s="211"/>
      <c r="AP126" s="211"/>
      <c r="AQ126" s="211"/>
      <c r="AR126" s="211"/>
      <c r="AS126" s="255"/>
      <c r="AT126" s="210"/>
      <c r="AU126" s="211"/>
      <c r="AV126" s="255"/>
      <c r="AW126" s="210"/>
      <c r="AX126" s="210"/>
      <c r="AY126" s="266"/>
      <c r="AZ126" s="266"/>
      <c r="BA126" s="266"/>
      <c r="BB126" s="266"/>
    </row>
    <row r="127" spans="1:56" x14ac:dyDescent="0.3">
      <c r="A127" s="222">
        <v>2023</v>
      </c>
      <c r="B127" s="222" t="s">
        <v>35</v>
      </c>
      <c r="C127" s="370" t="s">
        <v>232</v>
      </c>
      <c r="D127" s="247" t="s">
        <v>231</v>
      </c>
      <c r="E127" s="247" t="s">
        <v>31</v>
      </c>
      <c r="F127" s="247" t="s">
        <v>596</v>
      </c>
      <c r="G127" s="248">
        <v>4000000</v>
      </c>
      <c r="H127" s="286" t="s">
        <v>42</v>
      </c>
      <c r="I127" s="250" t="s">
        <v>503</v>
      </c>
      <c r="J127" s="357"/>
      <c r="K127" s="252" t="s">
        <v>116</v>
      </c>
      <c r="L127" s="250" t="s">
        <v>32</v>
      </c>
      <c r="M127" s="250" t="s">
        <v>100</v>
      </c>
      <c r="N127" s="211" t="str">
        <f t="shared" si="16"/>
        <v/>
      </c>
      <c r="O127" s="211">
        <v>9.3000000000000007</v>
      </c>
      <c r="P127" s="211"/>
      <c r="Q127" s="255"/>
      <c r="R127" s="255"/>
      <c r="S127" s="370" t="s">
        <v>599</v>
      </c>
      <c r="T127" s="370"/>
      <c r="U127" s="211"/>
      <c r="V127" s="211"/>
      <c r="W127" s="211"/>
      <c r="X127" s="211"/>
      <c r="Y127" s="211"/>
      <c r="Z127" s="211"/>
      <c r="AA127" s="255"/>
      <c r="AB127" s="211"/>
      <c r="AC127" s="255"/>
      <c r="AD127" s="210"/>
      <c r="AE127" s="211"/>
      <c r="AF127" s="211"/>
      <c r="AG127" s="211"/>
      <c r="AH127" s="211"/>
      <c r="AI127" s="211"/>
      <c r="AJ127" s="211"/>
      <c r="AK127" s="211"/>
      <c r="AL127" s="211"/>
      <c r="AM127" s="211"/>
      <c r="AN127" s="211"/>
      <c r="AO127" s="211"/>
      <c r="AP127" s="211"/>
      <c r="AQ127" s="211"/>
      <c r="AR127" s="211"/>
      <c r="AS127" s="255"/>
      <c r="AT127" s="210"/>
      <c r="AU127" s="211"/>
      <c r="AV127" s="255"/>
      <c r="AW127" s="210"/>
      <c r="AX127" s="210"/>
      <c r="AY127" s="266"/>
      <c r="AZ127" s="266"/>
      <c r="BA127" s="266"/>
      <c r="BB127" s="266"/>
    </row>
    <row r="128" spans="1:56" x14ac:dyDescent="0.3">
      <c r="A128" s="222">
        <v>2024</v>
      </c>
      <c r="B128" s="222" t="s">
        <v>35</v>
      </c>
      <c r="C128" s="370" t="s">
        <v>237</v>
      </c>
      <c r="D128" s="370" t="s">
        <v>238</v>
      </c>
      <c r="E128" s="370" t="s">
        <v>31</v>
      </c>
      <c r="F128" s="370" t="s">
        <v>596</v>
      </c>
      <c r="G128" s="371">
        <v>25000000</v>
      </c>
      <c r="H128" s="286" t="s">
        <v>42</v>
      </c>
      <c r="I128" s="211" t="s">
        <v>503</v>
      </c>
      <c r="J128" s="285"/>
      <c r="K128" s="219"/>
      <c r="L128" s="211" t="s">
        <v>32</v>
      </c>
      <c r="M128" s="258" t="s">
        <v>100</v>
      </c>
      <c r="N128" s="211" t="str">
        <f t="shared" si="16"/>
        <v/>
      </c>
      <c r="O128" s="211"/>
      <c r="P128" s="211"/>
      <c r="Q128" s="255"/>
      <c r="R128" s="255"/>
      <c r="S128" s="370" t="s">
        <v>600</v>
      </c>
      <c r="T128" s="370"/>
      <c r="U128" s="211"/>
      <c r="V128" s="211"/>
      <c r="W128" s="211"/>
      <c r="X128" s="211"/>
      <c r="Y128" s="211"/>
      <c r="Z128" s="211"/>
      <c r="AA128" s="255"/>
      <c r="AB128" s="211"/>
      <c r="AC128" s="255"/>
      <c r="AD128" s="210"/>
      <c r="AE128" s="211"/>
      <c r="AF128" s="211"/>
      <c r="AG128" s="211"/>
      <c r="AH128" s="211"/>
      <c r="AI128" s="211"/>
      <c r="AJ128" s="211"/>
      <c r="AK128" s="211"/>
      <c r="AL128" s="211"/>
      <c r="AM128" s="211"/>
      <c r="AN128" s="211"/>
      <c r="AO128" s="211"/>
      <c r="AP128" s="211"/>
      <c r="AQ128" s="211"/>
      <c r="AR128" s="211"/>
      <c r="AS128" s="255"/>
      <c r="AT128" s="210"/>
      <c r="AU128" s="211"/>
      <c r="AV128" s="255"/>
      <c r="AW128" s="210"/>
      <c r="AX128" s="210"/>
      <c r="AY128" s="266"/>
      <c r="AZ128" s="266"/>
      <c r="BA128" s="266"/>
      <c r="BB128" s="266"/>
    </row>
    <row r="129" spans="1:54" x14ac:dyDescent="0.3">
      <c r="A129" s="222">
        <v>2023</v>
      </c>
      <c r="B129" s="222" t="s">
        <v>35</v>
      </c>
      <c r="C129" s="370" t="s">
        <v>240</v>
      </c>
      <c r="D129" s="282" t="s">
        <v>238</v>
      </c>
      <c r="E129" s="282" t="s">
        <v>31</v>
      </c>
      <c r="F129" s="370" t="s">
        <v>596</v>
      </c>
      <c r="G129" s="283">
        <v>11000000</v>
      </c>
      <c r="H129" s="286" t="s">
        <v>42</v>
      </c>
      <c r="I129" s="258" t="s">
        <v>503</v>
      </c>
      <c r="J129" s="399"/>
      <c r="K129" s="286">
        <v>0.8</v>
      </c>
      <c r="L129" s="258" t="s">
        <v>32</v>
      </c>
      <c r="M129" s="258" t="s">
        <v>100</v>
      </c>
      <c r="N129" s="211" t="str">
        <f t="shared" si="16"/>
        <v/>
      </c>
      <c r="O129" s="211">
        <v>2.86</v>
      </c>
      <c r="P129" s="211"/>
      <c r="Q129" s="255"/>
      <c r="R129" s="255"/>
      <c r="S129" s="370" t="s">
        <v>601</v>
      </c>
      <c r="T129" s="370"/>
      <c r="U129" s="211"/>
      <c r="V129" s="211"/>
      <c r="W129" s="211"/>
      <c r="X129" s="211"/>
      <c r="Y129" s="211"/>
      <c r="Z129" s="211"/>
      <c r="AA129" s="255"/>
      <c r="AB129" s="211"/>
      <c r="AC129" s="255"/>
      <c r="AD129" s="210"/>
      <c r="AE129" s="211"/>
      <c r="AF129" s="211"/>
      <c r="AG129" s="211"/>
      <c r="AH129" s="211"/>
      <c r="AI129" s="211"/>
      <c r="AJ129" s="211"/>
      <c r="AK129" s="211"/>
      <c r="AL129" s="211"/>
      <c r="AM129" s="211"/>
      <c r="AN129" s="211"/>
      <c r="AO129" s="211"/>
      <c r="AP129" s="211"/>
      <c r="AQ129" s="211"/>
      <c r="AR129" s="211"/>
      <c r="AS129" s="255"/>
      <c r="AT129" s="210"/>
      <c r="AU129" s="211"/>
      <c r="AV129" s="255"/>
      <c r="AW129" s="210"/>
      <c r="AX129" s="210"/>
      <c r="AY129" s="266"/>
      <c r="AZ129" s="266"/>
      <c r="BA129" s="266"/>
      <c r="BB129" s="266"/>
    </row>
    <row r="130" spans="1:54" x14ac:dyDescent="0.3">
      <c r="A130" s="222">
        <v>2024</v>
      </c>
      <c r="B130" s="222" t="s">
        <v>35</v>
      </c>
      <c r="C130" s="370" t="s">
        <v>241</v>
      </c>
      <c r="D130" s="370" t="s">
        <v>242</v>
      </c>
      <c r="E130" s="370" t="s">
        <v>208</v>
      </c>
      <c r="F130" s="370" t="s">
        <v>596</v>
      </c>
      <c r="G130" s="371">
        <v>8000000</v>
      </c>
      <c r="H130" s="286" t="s">
        <v>42</v>
      </c>
      <c r="I130" s="211" t="s">
        <v>503</v>
      </c>
      <c r="J130" s="285"/>
      <c r="K130" s="219">
        <v>1</v>
      </c>
      <c r="L130" s="211" t="s">
        <v>32</v>
      </c>
      <c r="M130" s="211" t="s">
        <v>100</v>
      </c>
      <c r="N130" s="211" t="str">
        <f t="shared" si="16"/>
        <v/>
      </c>
      <c r="O130" s="211"/>
      <c r="P130" s="211"/>
      <c r="Q130" s="255"/>
      <c r="R130" s="255"/>
      <c r="S130" s="370" t="s">
        <v>243</v>
      </c>
      <c r="T130" s="370"/>
      <c r="U130" s="211"/>
      <c r="V130" s="211"/>
      <c r="W130" s="211"/>
      <c r="X130" s="211"/>
      <c r="Y130" s="211"/>
      <c r="Z130" s="211"/>
      <c r="AA130" s="255"/>
      <c r="AB130" s="211"/>
      <c r="AC130" s="255"/>
      <c r="AD130" s="210"/>
      <c r="AE130" s="211"/>
      <c r="AF130" s="211"/>
      <c r="AG130" s="211"/>
      <c r="AH130" s="211"/>
      <c r="AI130" s="211"/>
      <c r="AJ130" s="211"/>
      <c r="AK130" s="211"/>
      <c r="AL130" s="211"/>
      <c r="AM130" s="211"/>
      <c r="AN130" s="211"/>
      <c r="AO130" s="211"/>
      <c r="AP130" s="211"/>
      <c r="AQ130" s="211"/>
      <c r="AR130" s="211"/>
      <c r="AS130" s="255"/>
      <c r="AT130" s="210"/>
      <c r="AU130" s="211"/>
      <c r="AV130" s="255"/>
      <c r="AW130" s="210"/>
      <c r="AX130" s="210"/>
      <c r="AY130" s="266"/>
      <c r="AZ130" s="266"/>
      <c r="BA130" s="266"/>
      <c r="BB130" s="266"/>
    </row>
    <row r="131" spans="1:54" x14ac:dyDescent="0.3">
      <c r="A131" s="222">
        <v>2024</v>
      </c>
      <c r="B131" s="222" t="s">
        <v>35</v>
      </c>
      <c r="C131" s="370" t="s">
        <v>244</v>
      </c>
      <c r="D131" s="370" t="s">
        <v>602</v>
      </c>
      <c r="E131" s="370" t="s">
        <v>31</v>
      </c>
      <c r="F131" s="370" t="s">
        <v>596</v>
      </c>
      <c r="G131" s="371">
        <v>5000000</v>
      </c>
      <c r="H131" s="286" t="s">
        <v>42</v>
      </c>
      <c r="I131" s="211" t="s">
        <v>503</v>
      </c>
      <c r="J131" s="285">
        <v>50</v>
      </c>
      <c r="K131" s="219">
        <v>0.95</v>
      </c>
      <c r="L131" s="211" t="s">
        <v>48</v>
      </c>
      <c r="M131" s="211" t="s">
        <v>100</v>
      </c>
      <c r="N131" s="211" t="str">
        <f t="shared" si="16"/>
        <v>Yes</v>
      </c>
      <c r="O131" s="211"/>
      <c r="P131" s="211"/>
      <c r="Q131" s="255"/>
      <c r="R131" s="255"/>
      <c r="S131" s="370" t="s">
        <v>246</v>
      </c>
      <c r="T131" s="370"/>
      <c r="U131" s="211"/>
      <c r="V131" s="211"/>
      <c r="W131" s="211"/>
      <c r="X131" s="211"/>
      <c r="Y131" s="211"/>
      <c r="Z131" s="211"/>
      <c r="AA131" s="255"/>
      <c r="AB131" s="211"/>
      <c r="AC131" s="255"/>
      <c r="AD131" s="210"/>
      <c r="AE131" s="211"/>
      <c r="AF131" s="211"/>
      <c r="AG131" s="211"/>
      <c r="AH131" s="211"/>
      <c r="AI131" s="211"/>
      <c r="AJ131" s="211"/>
      <c r="AK131" s="211"/>
      <c r="AL131" s="211"/>
      <c r="AM131" s="211"/>
      <c r="AN131" s="211"/>
      <c r="AO131" s="211"/>
      <c r="AP131" s="211"/>
      <c r="AQ131" s="211"/>
      <c r="AR131" s="211"/>
      <c r="AS131" s="255"/>
      <c r="AT131" s="210"/>
      <c r="AU131" s="211"/>
      <c r="AV131" s="255"/>
      <c r="AW131" s="210"/>
      <c r="AX131" s="210"/>
      <c r="AY131" s="266"/>
      <c r="AZ131" s="266"/>
      <c r="BA131" s="266"/>
      <c r="BB131" s="266"/>
    </row>
    <row r="132" spans="1:54" x14ac:dyDescent="0.3">
      <c r="A132" s="222">
        <v>2024</v>
      </c>
      <c r="B132" s="222" t="s">
        <v>35</v>
      </c>
      <c r="C132" s="370" t="s">
        <v>247</v>
      </c>
      <c r="D132" s="282" t="s">
        <v>248</v>
      </c>
      <c r="E132" s="282" t="s">
        <v>115</v>
      </c>
      <c r="F132" s="282" t="s">
        <v>596</v>
      </c>
      <c r="G132" s="283">
        <v>5000000</v>
      </c>
      <c r="H132" s="286" t="s">
        <v>42</v>
      </c>
      <c r="I132" s="258" t="s">
        <v>503</v>
      </c>
      <c r="J132" s="285"/>
      <c r="K132" s="286">
        <v>0</v>
      </c>
      <c r="L132" s="258" t="s">
        <v>48</v>
      </c>
      <c r="M132" s="258" t="s">
        <v>100</v>
      </c>
      <c r="N132" s="211" t="str">
        <f t="shared" si="16"/>
        <v>Yes</v>
      </c>
      <c r="O132" s="211">
        <v>2</v>
      </c>
      <c r="P132" s="211"/>
      <c r="Q132" s="255"/>
      <c r="R132" s="255"/>
      <c r="S132" s="370" t="s">
        <v>249</v>
      </c>
      <c r="T132" s="370"/>
      <c r="U132" s="211"/>
      <c r="V132" s="211"/>
      <c r="W132" s="211"/>
      <c r="X132" s="211"/>
      <c r="Y132" s="211"/>
      <c r="Z132" s="211"/>
      <c r="AA132" s="255"/>
      <c r="AB132" s="211"/>
      <c r="AC132" s="255"/>
      <c r="AD132" s="210"/>
      <c r="AE132" s="211"/>
      <c r="AF132" s="211"/>
      <c r="AG132" s="211"/>
      <c r="AH132" s="211"/>
      <c r="AI132" s="211"/>
      <c r="AJ132" s="211"/>
      <c r="AK132" s="211"/>
      <c r="AL132" s="211"/>
      <c r="AM132" s="211"/>
      <c r="AN132" s="211"/>
      <c r="AO132" s="211"/>
      <c r="AP132" s="211"/>
      <c r="AQ132" s="211"/>
      <c r="AR132" s="211"/>
      <c r="AS132" s="255"/>
      <c r="AT132" s="210"/>
      <c r="AU132" s="211"/>
      <c r="AV132" s="255"/>
      <c r="AW132" s="210"/>
      <c r="AX132" s="210"/>
      <c r="AY132" s="266"/>
      <c r="AZ132" s="266"/>
      <c r="BA132" s="266"/>
    </row>
    <row r="133" spans="1:54" x14ac:dyDescent="0.3">
      <c r="A133" s="222">
        <v>2024</v>
      </c>
      <c r="B133" s="222" t="s">
        <v>35</v>
      </c>
      <c r="C133" s="370" t="s">
        <v>250</v>
      </c>
      <c r="D133" s="370" t="s">
        <v>251</v>
      </c>
      <c r="E133" s="370" t="s">
        <v>252</v>
      </c>
      <c r="F133" s="370" t="s">
        <v>596</v>
      </c>
      <c r="G133" s="371">
        <v>7000000</v>
      </c>
      <c r="H133" s="286" t="s">
        <v>42</v>
      </c>
      <c r="I133" s="211" t="s">
        <v>503</v>
      </c>
      <c r="J133" s="285"/>
      <c r="K133" s="219">
        <v>0.25</v>
      </c>
      <c r="L133" s="211" t="s">
        <v>32</v>
      </c>
      <c r="M133" s="211" t="s">
        <v>547</v>
      </c>
      <c r="N133" s="211"/>
      <c r="O133" s="211"/>
      <c r="P133" s="211"/>
      <c r="Q133" s="255"/>
      <c r="R133" s="255"/>
      <c r="S133" s="370" t="s">
        <v>253</v>
      </c>
      <c r="T133" s="370"/>
      <c r="U133" s="211"/>
      <c r="V133" s="211"/>
      <c r="W133" s="211"/>
      <c r="X133" s="211"/>
      <c r="Y133" s="211"/>
      <c r="Z133" s="211"/>
      <c r="AA133" s="255"/>
      <c r="AB133" s="211"/>
      <c r="AC133" s="255"/>
      <c r="AD133" s="210"/>
      <c r="AE133" s="211"/>
      <c r="AF133" s="211"/>
      <c r="AG133" s="211"/>
      <c r="AH133" s="211"/>
      <c r="AI133" s="211"/>
      <c r="AJ133" s="211"/>
      <c r="AK133" s="211"/>
      <c r="AL133" s="211"/>
      <c r="AM133" s="211"/>
      <c r="AN133" s="211"/>
      <c r="AO133" s="211"/>
      <c r="AP133" s="211"/>
      <c r="AQ133" s="211"/>
      <c r="AR133" s="211"/>
      <c r="AS133" s="255"/>
      <c r="AT133" s="210"/>
      <c r="AU133" s="211"/>
      <c r="AV133" s="255"/>
      <c r="AW133" s="210"/>
      <c r="AX133" s="210"/>
      <c r="AY133" s="266"/>
      <c r="AZ133" s="266"/>
      <c r="BA133" s="266"/>
    </row>
    <row r="134" spans="1:54" x14ac:dyDescent="0.3">
      <c r="A134" s="222">
        <v>2024</v>
      </c>
      <c r="B134" s="222"/>
      <c r="C134" s="370" t="s">
        <v>254</v>
      </c>
      <c r="D134" s="370" t="s">
        <v>255</v>
      </c>
      <c r="E134" s="370" t="s">
        <v>57</v>
      </c>
      <c r="F134" s="370" t="s">
        <v>596</v>
      </c>
      <c r="G134" s="371">
        <v>5000000</v>
      </c>
      <c r="H134" s="286" t="s">
        <v>42</v>
      </c>
      <c r="I134" s="211" t="s">
        <v>503</v>
      </c>
      <c r="J134" s="285">
        <v>167</v>
      </c>
      <c r="K134" s="219">
        <v>0.75</v>
      </c>
      <c r="L134" s="211" t="s">
        <v>32</v>
      </c>
      <c r="M134" s="211" t="s">
        <v>547</v>
      </c>
      <c r="N134" s="211"/>
      <c r="O134" s="211"/>
      <c r="P134" s="211"/>
      <c r="Q134" s="255"/>
      <c r="R134" s="255"/>
      <c r="S134" s="370" t="s">
        <v>256</v>
      </c>
      <c r="T134" s="370"/>
      <c r="U134" s="211"/>
      <c r="V134" s="211"/>
      <c r="W134" s="211"/>
      <c r="X134" s="211"/>
      <c r="Y134" s="211"/>
      <c r="Z134" s="211"/>
      <c r="AA134" s="255"/>
      <c r="AB134" s="211"/>
      <c r="AC134" s="255"/>
      <c r="AD134" s="210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55"/>
      <c r="AT134" s="210"/>
      <c r="AU134" s="211"/>
      <c r="AV134" s="255"/>
      <c r="AW134" s="210"/>
      <c r="AX134" s="210"/>
      <c r="AY134" s="266"/>
      <c r="AZ134" s="266"/>
      <c r="BA134" s="266"/>
    </row>
    <row r="135" spans="1:54" x14ac:dyDescent="0.3">
      <c r="A135" s="222">
        <v>2024</v>
      </c>
      <c r="B135" s="222"/>
      <c r="C135" s="370" t="s">
        <v>257</v>
      </c>
      <c r="D135" s="370" t="s">
        <v>258</v>
      </c>
      <c r="E135" s="370" t="s">
        <v>215</v>
      </c>
      <c r="F135" s="370" t="s">
        <v>596</v>
      </c>
      <c r="G135" s="371">
        <v>8000000</v>
      </c>
      <c r="H135" s="286" t="s">
        <v>42</v>
      </c>
      <c r="I135" s="211" t="s">
        <v>503</v>
      </c>
      <c r="J135" s="285">
        <v>239</v>
      </c>
      <c r="K135" s="219">
        <v>0.9</v>
      </c>
      <c r="L135" s="211" t="s">
        <v>32</v>
      </c>
      <c r="M135" s="211" t="s">
        <v>547</v>
      </c>
      <c r="N135" s="211"/>
      <c r="O135" s="211"/>
      <c r="P135" s="211"/>
      <c r="Q135" s="255"/>
      <c r="R135" s="255"/>
      <c r="S135" s="370" t="s">
        <v>259</v>
      </c>
      <c r="T135" s="370"/>
      <c r="U135" s="211"/>
      <c r="V135" s="211"/>
      <c r="W135" s="211"/>
      <c r="X135" s="211"/>
      <c r="Y135" s="211"/>
      <c r="Z135" s="211"/>
      <c r="AA135" s="255"/>
      <c r="AB135" s="211"/>
      <c r="AC135" s="255"/>
      <c r="AD135" s="210"/>
      <c r="AE135" s="211"/>
      <c r="AF135" s="211"/>
      <c r="AG135" s="211"/>
      <c r="AH135" s="211"/>
      <c r="AI135" s="211"/>
      <c r="AJ135" s="211"/>
      <c r="AK135" s="211"/>
      <c r="AL135" s="211"/>
      <c r="AM135" s="211"/>
      <c r="AN135" s="211"/>
      <c r="AO135" s="211"/>
      <c r="AP135" s="211"/>
      <c r="AQ135" s="211"/>
      <c r="AR135" s="211"/>
      <c r="AS135" s="255"/>
      <c r="AT135" s="210"/>
      <c r="AU135" s="211"/>
      <c r="AV135" s="255"/>
      <c r="AW135" s="210"/>
      <c r="AX135" s="210"/>
      <c r="AY135" s="266"/>
      <c r="AZ135" s="266"/>
      <c r="BA135" s="266"/>
    </row>
    <row r="136" spans="1:54" x14ac:dyDescent="0.3">
      <c r="A136" s="222">
        <v>2024</v>
      </c>
      <c r="B136" s="222" t="s">
        <v>35</v>
      </c>
      <c r="C136" s="370" t="s">
        <v>260</v>
      </c>
      <c r="D136" s="370" t="s">
        <v>261</v>
      </c>
      <c r="E136" s="370" t="s">
        <v>262</v>
      </c>
      <c r="F136" s="370" t="s">
        <v>596</v>
      </c>
      <c r="G136" s="371">
        <v>25000000</v>
      </c>
      <c r="H136" s="286" t="s">
        <v>42</v>
      </c>
      <c r="I136" s="211" t="s">
        <v>503</v>
      </c>
      <c r="J136" s="285">
        <v>400</v>
      </c>
      <c r="K136" s="219">
        <v>0.9</v>
      </c>
      <c r="L136" s="211" t="s">
        <v>32</v>
      </c>
      <c r="M136" s="211" t="s">
        <v>100</v>
      </c>
      <c r="N136" s="211"/>
      <c r="O136" s="211"/>
      <c r="P136" s="211"/>
      <c r="Q136" s="255"/>
      <c r="R136" s="255"/>
      <c r="S136" s="370" t="s">
        <v>263</v>
      </c>
      <c r="T136" s="370"/>
      <c r="U136" s="211"/>
      <c r="V136" s="211"/>
      <c r="W136" s="211"/>
      <c r="X136" s="211"/>
      <c r="Y136" s="211"/>
      <c r="Z136" s="211"/>
      <c r="AA136" s="255"/>
      <c r="AB136" s="211"/>
      <c r="AC136" s="255"/>
      <c r="AD136" s="210"/>
      <c r="AE136" s="211"/>
      <c r="AF136" s="211"/>
      <c r="AG136" s="211"/>
      <c r="AH136" s="211"/>
      <c r="AI136" s="211"/>
      <c r="AJ136" s="211"/>
      <c r="AK136" s="211"/>
      <c r="AL136" s="211"/>
      <c r="AM136" s="211"/>
      <c r="AN136" s="211"/>
      <c r="AO136" s="211"/>
      <c r="AP136" s="211"/>
      <c r="AQ136" s="211"/>
      <c r="AR136" s="211"/>
      <c r="AS136" s="255"/>
      <c r="AT136" s="210"/>
      <c r="AU136" s="211"/>
      <c r="AV136" s="255"/>
      <c r="AW136" s="210"/>
      <c r="AX136" s="210"/>
      <c r="AY136" s="266"/>
      <c r="AZ136" s="266"/>
      <c r="BA136" s="266"/>
    </row>
    <row r="137" spans="1:54" x14ac:dyDescent="0.3">
      <c r="A137" s="222">
        <v>2024</v>
      </c>
      <c r="B137" s="222" t="s">
        <v>35</v>
      </c>
      <c r="C137" s="370" t="s">
        <v>264</v>
      </c>
      <c r="D137" s="282" t="s">
        <v>265</v>
      </c>
      <c r="E137" s="282" t="s">
        <v>266</v>
      </c>
      <c r="F137" s="282" t="s">
        <v>596</v>
      </c>
      <c r="G137" s="283">
        <v>9000000</v>
      </c>
      <c r="H137" s="286" t="s">
        <v>42</v>
      </c>
      <c r="I137" s="258" t="s">
        <v>503</v>
      </c>
      <c r="J137" s="285">
        <v>400</v>
      </c>
      <c r="K137" s="286">
        <v>0.75</v>
      </c>
      <c r="L137" s="258" t="s">
        <v>48</v>
      </c>
      <c r="M137" s="258" t="s">
        <v>100</v>
      </c>
      <c r="N137" s="211" t="s">
        <v>35</v>
      </c>
      <c r="O137" s="211"/>
      <c r="P137" s="211"/>
      <c r="Q137" s="255"/>
      <c r="R137" s="255"/>
      <c r="S137" s="370" t="s">
        <v>603</v>
      </c>
      <c r="T137" s="370"/>
      <c r="U137" s="211"/>
      <c r="V137" s="211"/>
      <c r="W137" s="211"/>
      <c r="X137" s="211"/>
      <c r="Y137" s="211"/>
      <c r="Z137" s="211"/>
      <c r="AA137" s="255"/>
      <c r="AB137" s="211"/>
      <c r="AC137" s="255"/>
      <c r="AD137" s="210"/>
      <c r="AE137" s="211"/>
      <c r="AF137" s="211"/>
      <c r="AG137" s="211"/>
      <c r="AH137" s="211"/>
      <c r="AI137" s="211"/>
      <c r="AJ137" s="211"/>
      <c r="AK137" s="211"/>
      <c r="AL137" s="211"/>
      <c r="AM137" s="211"/>
      <c r="AN137" s="211"/>
      <c r="AO137" s="211"/>
      <c r="AP137" s="211"/>
      <c r="AQ137" s="211"/>
      <c r="AR137" s="211"/>
      <c r="AS137" s="255"/>
      <c r="AT137" s="210"/>
      <c r="AU137" s="211"/>
      <c r="AV137" s="255"/>
      <c r="AW137" s="210"/>
      <c r="AX137" s="210"/>
      <c r="AY137" s="266"/>
      <c r="AZ137" s="266"/>
      <c r="BA137" s="266"/>
    </row>
    <row r="138" spans="1:54" x14ac:dyDescent="0.3">
      <c r="A138" s="222">
        <v>2024</v>
      </c>
      <c r="B138" s="222" t="s">
        <v>35</v>
      </c>
      <c r="C138" s="370" t="s">
        <v>268</v>
      </c>
      <c r="D138" s="370" t="s">
        <v>269</v>
      </c>
      <c r="E138" s="370" t="s">
        <v>31</v>
      </c>
      <c r="F138" s="370" t="s">
        <v>596</v>
      </c>
      <c r="G138" s="371">
        <v>12000000</v>
      </c>
      <c r="H138" s="286" t="s">
        <v>42</v>
      </c>
      <c r="I138" s="211" t="s">
        <v>503</v>
      </c>
      <c r="J138" s="285">
        <v>100</v>
      </c>
      <c r="K138" s="219"/>
      <c r="L138" s="211" t="s">
        <v>32</v>
      </c>
      <c r="M138" s="258" t="s">
        <v>100</v>
      </c>
      <c r="N138" s="211"/>
      <c r="O138" s="211"/>
      <c r="P138" s="211"/>
      <c r="Q138" s="255"/>
      <c r="R138" s="255"/>
      <c r="S138" s="370" t="s">
        <v>270</v>
      </c>
      <c r="T138" s="370"/>
      <c r="U138" s="211"/>
      <c r="V138" s="211"/>
      <c r="W138" s="211"/>
      <c r="X138" s="211"/>
      <c r="Y138" s="211"/>
      <c r="Z138" s="211"/>
      <c r="AA138" s="255"/>
      <c r="AB138" s="211"/>
      <c r="AC138" s="255"/>
      <c r="AD138" s="210"/>
      <c r="AE138" s="211"/>
      <c r="AF138" s="211"/>
      <c r="AG138" s="211"/>
      <c r="AH138" s="211"/>
      <c r="AI138" s="211"/>
      <c r="AJ138" s="211"/>
      <c r="AK138" s="211"/>
      <c r="AL138" s="211"/>
      <c r="AM138" s="211"/>
      <c r="AN138" s="211"/>
      <c r="AO138" s="211"/>
      <c r="AP138" s="211"/>
      <c r="AQ138" s="211"/>
      <c r="AR138" s="211"/>
      <c r="AS138" s="255"/>
      <c r="AT138" s="210"/>
      <c r="AU138" s="211"/>
      <c r="AV138" s="255"/>
      <c r="AW138" s="210"/>
      <c r="AX138" s="210"/>
      <c r="AY138" s="266"/>
      <c r="AZ138" s="266"/>
      <c r="BA138" s="266"/>
    </row>
    <row r="139" spans="1:54" x14ac:dyDescent="0.3">
      <c r="A139" s="222">
        <v>2024</v>
      </c>
      <c r="B139" s="222" t="s">
        <v>35</v>
      </c>
      <c r="C139" s="370" t="s">
        <v>271</v>
      </c>
      <c r="D139" s="282" t="s">
        <v>272</v>
      </c>
      <c r="E139" s="282" t="s">
        <v>273</v>
      </c>
      <c r="F139" s="370" t="s">
        <v>596</v>
      </c>
      <c r="G139" s="283">
        <v>7500000</v>
      </c>
      <c r="H139" s="286" t="s">
        <v>42</v>
      </c>
      <c r="I139" s="258" t="s">
        <v>503</v>
      </c>
      <c r="J139" s="285">
        <v>210</v>
      </c>
      <c r="K139" s="286">
        <v>0.85</v>
      </c>
      <c r="L139" s="258" t="s">
        <v>48</v>
      </c>
      <c r="M139" s="258" t="s">
        <v>100</v>
      </c>
      <c r="N139" s="211" t="s">
        <v>35</v>
      </c>
      <c r="O139" s="211"/>
      <c r="P139" s="211"/>
      <c r="Q139" s="255"/>
      <c r="R139" s="255"/>
      <c r="S139" s="370" t="s">
        <v>604</v>
      </c>
      <c r="T139" s="370"/>
      <c r="U139" s="211"/>
      <c r="V139" s="211"/>
      <c r="W139" s="211"/>
      <c r="X139" s="211"/>
      <c r="Y139" s="211"/>
      <c r="Z139" s="211"/>
      <c r="AA139" s="255"/>
      <c r="AB139" s="211"/>
      <c r="AC139" s="255"/>
      <c r="AD139" s="210"/>
      <c r="AE139" s="211"/>
      <c r="AF139" s="211"/>
      <c r="AG139" s="211"/>
      <c r="AH139" s="211"/>
      <c r="AI139" s="211"/>
      <c r="AJ139" s="211"/>
      <c r="AK139" s="211"/>
      <c r="AL139" s="211"/>
      <c r="AM139" s="211"/>
      <c r="AN139" s="211"/>
      <c r="AO139" s="211"/>
      <c r="AP139" s="211"/>
      <c r="AQ139" s="211"/>
      <c r="AR139" s="211"/>
      <c r="AS139" s="255"/>
      <c r="AT139" s="210"/>
      <c r="AU139" s="211"/>
      <c r="AV139" s="255"/>
      <c r="AW139" s="210"/>
      <c r="AX139" s="210"/>
      <c r="AY139" s="266"/>
      <c r="AZ139" s="266"/>
      <c r="BA139" s="266"/>
    </row>
    <row r="140" spans="1:54" x14ac:dyDescent="0.3">
      <c r="A140" s="222">
        <v>2024</v>
      </c>
      <c r="B140" s="222" t="s">
        <v>35</v>
      </c>
      <c r="C140" s="370" t="s">
        <v>275</v>
      </c>
      <c r="D140" s="370" t="s">
        <v>276</v>
      </c>
      <c r="E140" s="370" t="s">
        <v>115</v>
      </c>
      <c r="F140" s="370" t="s">
        <v>596</v>
      </c>
      <c r="G140" s="371">
        <v>7500000</v>
      </c>
      <c r="H140" s="286" t="s">
        <v>42</v>
      </c>
      <c r="I140" s="211" t="s">
        <v>503</v>
      </c>
      <c r="J140" s="285">
        <v>200</v>
      </c>
      <c r="K140" s="219">
        <v>1</v>
      </c>
      <c r="L140" s="211" t="s">
        <v>48</v>
      </c>
      <c r="M140" s="211" t="s">
        <v>100</v>
      </c>
      <c r="N140" s="211" t="s">
        <v>35</v>
      </c>
      <c r="O140" s="211"/>
      <c r="P140" s="211"/>
      <c r="Q140" s="255"/>
      <c r="R140" s="255"/>
      <c r="S140" s="370" t="s">
        <v>134</v>
      </c>
      <c r="T140" s="370"/>
      <c r="U140" s="211"/>
      <c r="V140" s="211"/>
      <c r="W140" s="211"/>
      <c r="X140" s="211"/>
      <c r="Y140" s="211"/>
      <c r="Z140" s="211"/>
      <c r="AA140" s="255"/>
      <c r="AB140" s="211"/>
      <c r="AC140" s="255"/>
      <c r="AD140" s="210"/>
      <c r="AE140" s="211"/>
      <c r="AF140" s="211"/>
      <c r="AG140" s="211"/>
      <c r="AH140" s="211"/>
      <c r="AI140" s="211"/>
      <c r="AJ140" s="211"/>
      <c r="AK140" s="211"/>
      <c r="AL140" s="211"/>
      <c r="AM140" s="211"/>
      <c r="AN140" s="211"/>
      <c r="AO140" s="211"/>
      <c r="AP140" s="211"/>
      <c r="AQ140" s="211"/>
      <c r="AR140" s="211"/>
      <c r="AS140" s="255"/>
      <c r="AT140" s="210"/>
      <c r="AU140" s="211"/>
      <c r="AV140" s="255"/>
      <c r="AW140" s="210"/>
      <c r="AX140" s="210"/>
      <c r="AY140" s="266"/>
      <c r="AZ140" s="266"/>
      <c r="BA140" s="266"/>
      <c r="BB140" s="266"/>
    </row>
    <row r="141" spans="1:54" x14ac:dyDescent="0.3">
      <c r="A141" s="222">
        <v>2024</v>
      </c>
      <c r="B141" s="222"/>
      <c r="C141" s="370" t="s">
        <v>143</v>
      </c>
      <c r="D141" s="282" t="s">
        <v>144</v>
      </c>
      <c r="E141" s="282" t="s">
        <v>31</v>
      </c>
      <c r="F141" s="282" t="s">
        <v>596</v>
      </c>
      <c r="G141" s="283">
        <v>15500000</v>
      </c>
      <c r="H141" s="286" t="s">
        <v>42</v>
      </c>
      <c r="I141" s="258" t="s">
        <v>503</v>
      </c>
      <c r="J141" s="285">
        <v>497</v>
      </c>
      <c r="K141" s="286">
        <v>0.95</v>
      </c>
      <c r="L141" s="258" t="s">
        <v>48</v>
      </c>
      <c r="M141" s="258" t="s">
        <v>100</v>
      </c>
      <c r="N141" s="211" t="s">
        <v>35</v>
      </c>
      <c r="O141" s="211"/>
      <c r="P141" s="211"/>
      <c r="Q141" s="255"/>
      <c r="R141" s="255"/>
      <c r="S141" s="370" t="s">
        <v>605</v>
      </c>
      <c r="T141" s="370"/>
      <c r="U141" s="211"/>
      <c r="V141" s="211"/>
      <c r="W141" s="211"/>
      <c r="X141" s="211"/>
      <c r="Y141" s="211"/>
      <c r="Z141" s="211"/>
      <c r="AA141" s="255"/>
      <c r="AB141" s="211"/>
      <c r="AC141" s="255"/>
      <c r="AD141" s="210"/>
      <c r="AE141" s="211"/>
      <c r="AF141" s="211"/>
      <c r="AG141" s="211"/>
      <c r="AH141" s="211"/>
      <c r="AI141" s="211"/>
      <c r="AJ141" s="211"/>
      <c r="AK141" s="211"/>
      <c r="AL141" s="211"/>
      <c r="AM141" s="211"/>
      <c r="AN141" s="211"/>
      <c r="AO141" s="211"/>
      <c r="AP141" s="211"/>
      <c r="AQ141" s="211"/>
      <c r="AR141" s="211"/>
      <c r="AS141" s="255"/>
      <c r="AT141" s="210"/>
      <c r="AU141" s="211"/>
      <c r="AV141" s="255"/>
      <c r="AW141" s="210"/>
      <c r="AX141" s="210"/>
    </row>
    <row r="142" spans="1:54" x14ac:dyDescent="0.3">
      <c r="A142" s="222">
        <v>2024</v>
      </c>
      <c r="B142" s="222"/>
      <c r="C142" s="370" t="s">
        <v>606</v>
      </c>
      <c r="D142" s="370" t="s">
        <v>607</v>
      </c>
      <c r="E142" s="370" t="s">
        <v>75</v>
      </c>
      <c r="F142" s="370" t="s">
        <v>596</v>
      </c>
      <c r="G142" s="371">
        <v>10000000</v>
      </c>
      <c r="H142" s="286" t="s">
        <v>42</v>
      </c>
      <c r="I142" s="211" t="s">
        <v>503</v>
      </c>
      <c r="J142" s="285" t="s">
        <v>42</v>
      </c>
      <c r="K142" s="219"/>
      <c r="L142" s="211" t="s">
        <v>32</v>
      </c>
      <c r="M142" s="211" t="s">
        <v>100</v>
      </c>
      <c r="N142" s="211"/>
      <c r="O142" s="211"/>
      <c r="P142" s="211"/>
      <c r="Q142" s="255"/>
      <c r="R142" s="255"/>
      <c r="S142" s="370"/>
      <c r="T142" s="370"/>
      <c r="U142" s="211"/>
      <c r="V142" s="211"/>
      <c r="W142" s="211"/>
      <c r="X142" s="211"/>
      <c r="Y142" s="211"/>
      <c r="Z142" s="211"/>
      <c r="AA142" s="255"/>
      <c r="AB142" s="211"/>
      <c r="AC142" s="255"/>
      <c r="AD142" s="210"/>
      <c r="AE142" s="211"/>
      <c r="AF142" s="211"/>
      <c r="AG142" s="211"/>
      <c r="AH142" s="211"/>
      <c r="AI142" s="211"/>
      <c r="AJ142" s="211"/>
      <c r="AK142" s="211"/>
      <c r="AL142" s="211"/>
      <c r="AM142" s="211"/>
      <c r="AN142" s="211"/>
      <c r="AO142" s="211"/>
      <c r="AP142" s="211"/>
      <c r="AQ142" s="211"/>
      <c r="AR142" s="211"/>
      <c r="AS142" s="255"/>
      <c r="AT142" s="210"/>
      <c r="AU142" s="211"/>
      <c r="AV142" s="255"/>
      <c r="AW142" s="210"/>
      <c r="AX142" s="210"/>
    </row>
    <row r="143" spans="1:54" x14ac:dyDescent="0.3">
      <c r="A143" s="222">
        <v>2024</v>
      </c>
      <c r="B143" s="222"/>
      <c r="C143" s="370" t="s">
        <v>277</v>
      </c>
      <c r="D143" s="370" t="s">
        <v>278</v>
      </c>
      <c r="E143" s="370" t="s">
        <v>208</v>
      </c>
      <c r="F143" s="370" t="s">
        <v>596</v>
      </c>
      <c r="G143" s="371">
        <v>25000000</v>
      </c>
      <c r="H143" s="286" t="s">
        <v>42</v>
      </c>
      <c r="I143" s="211" t="s">
        <v>556</v>
      </c>
      <c r="J143" s="285"/>
      <c r="K143" s="219">
        <v>0</v>
      </c>
      <c r="L143" s="211" t="s">
        <v>48</v>
      </c>
      <c r="M143" s="211" t="s">
        <v>608</v>
      </c>
      <c r="N143" s="211"/>
      <c r="O143" s="211">
        <v>23</v>
      </c>
      <c r="P143" s="211"/>
      <c r="Q143" s="255"/>
      <c r="R143" s="255"/>
      <c r="S143" s="370" t="s">
        <v>279</v>
      </c>
      <c r="T143" s="370"/>
      <c r="U143" s="211"/>
      <c r="V143" s="211"/>
      <c r="W143" s="211"/>
      <c r="X143" s="211"/>
      <c r="Y143" s="211"/>
      <c r="Z143" s="211"/>
      <c r="AA143" s="255"/>
      <c r="AB143" s="211"/>
      <c r="AC143" s="255"/>
      <c r="AD143" s="210"/>
      <c r="AE143" s="211"/>
      <c r="AF143" s="211"/>
      <c r="AG143" s="211"/>
      <c r="AH143" s="211"/>
      <c r="AI143" s="211"/>
      <c r="AJ143" s="211"/>
      <c r="AK143" s="211"/>
      <c r="AL143" s="211"/>
      <c r="AM143" s="211"/>
      <c r="AN143" s="211"/>
      <c r="AO143" s="211"/>
      <c r="AP143" s="211"/>
      <c r="AQ143" s="211"/>
      <c r="AR143" s="211"/>
      <c r="AS143" s="255"/>
      <c r="AT143" s="210"/>
      <c r="AU143" s="211"/>
      <c r="AV143" s="255"/>
      <c r="AW143" s="210"/>
      <c r="AX143" s="210"/>
      <c r="AY143" s="266"/>
      <c r="AZ143" s="266"/>
      <c r="BA143" s="266"/>
      <c r="BB143" s="266"/>
    </row>
    <row r="144" spans="1:54" x14ac:dyDescent="0.3">
      <c r="A144" s="222">
        <v>2024</v>
      </c>
      <c r="B144" s="222" t="s">
        <v>35</v>
      </c>
      <c r="C144" s="370" t="s">
        <v>280</v>
      </c>
      <c r="D144" s="370" t="s">
        <v>281</v>
      </c>
      <c r="E144" s="370" t="s">
        <v>282</v>
      </c>
      <c r="F144" s="370" t="s">
        <v>596</v>
      </c>
      <c r="G144" s="371">
        <v>20000000</v>
      </c>
      <c r="H144" s="286" t="s">
        <v>42</v>
      </c>
      <c r="I144" s="211" t="s">
        <v>503</v>
      </c>
      <c r="J144" s="285">
        <v>406</v>
      </c>
      <c r="K144" s="219"/>
      <c r="L144" s="211" t="s">
        <v>32</v>
      </c>
      <c r="M144" s="258" t="s">
        <v>547</v>
      </c>
      <c r="N144" s="211"/>
      <c r="O144" s="211"/>
      <c r="P144" s="211"/>
      <c r="Q144" s="255"/>
      <c r="R144" s="255"/>
      <c r="S144" s="370" t="s">
        <v>283</v>
      </c>
      <c r="T144" s="370"/>
      <c r="U144" s="211"/>
      <c r="V144" s="211"/>
      <c r="W144" s="211"/>
      <c r="X144" s="211"/>
      <c r="Y144" s="211"/>
      <c r="Z144" s="211"/>
      <c r="AA144" s="255"/>
      <c r="AB144" s="211"/>
      <c r="AC144" s="255"/>
      <c r="AD144" s="210"/>
      <c r="AE144" s="211"/>
      <c r="AF144" s="211"/>
      <c r="AG144" s="211"/>
      <c r="AH144" s="211"/>
      <c r="AI144" s="211"/>
      <c r="AJ144" s="211"/>
      <c r="AK144" s="211"/>
      <c r="AL144" s="211"/>
      <c r="AM144" s="211"/>
      <c r="AN144" s="211"/>
      <c r="AO144" s="211"/>
      <c r="AP144" s="211"/>
      <c r="AQ144" s="211"/>
      <c r="AR144" s="211"/>
      <c r="AS144" s="255"/>
      <c r="AT144" s="210"/>
      <c r="AU144" s="211"/>
      <c r="AV144" s="255"/>
      <c r="AW144" s="210"/>
      <c r="AX144" s="210"/>
      <c r="AY144" s="266"/>
      <c r="AZ144" s="266"/>
      <c r="BA144" s="266"/>
      <c r="BB144" s="266"/>
    </row>
    <row r="145" spans="1:56" x14ac:dyDescent="0.3">
      <c r="A145" s="222">
        <v>2024</v>
      </c>
      <c r="B145" s="222"/>
      <c r="C145" s="370" t="s">
        <v>284</v>
      </c>
      <c r="D145" s="282" t="s">
        <v>285</v>
      </c>
      <c r="E145" s="282" t="s">
        <v>57</v>
      </c>
      <c r="F145" s="370" t="s">
        <v>596</v>
      </c>
      <c r="G145" s="283" t="s">
        <v>42</v>
      </c>
      <c r="H145" s="286" t="s">
        <v>42</v>
      </c>
      <c r="I145" s="258" t="s">
        <v>503</v>
      </c>
      <c r="J145" s="285">
        <v>674</v>
      </c>
      <c r="K145" s="286">
        <v>0.3</v>
      </c>
      <c r="L145" s="258" t="s">
        <v>48</v>
      </c>
      <c r="M145" s="258" t="s">
        <v>100</v>
      </c>
      <c r="N145" s="211"/>
      <c r="O145" s="211"/>
      <c r="P145" s="211"/>
      <c r="Q145" s="255"/>
      <c r="R145" s="255"/>
      <c r="S145" s="370" t="s">
        <v>286</v>
      </c>
      <c r="T145" s="370"/>
      <c r="U145" s="211"/>
      <c r="V145" s="211"/>
      <c r="W145" s="211"/>
      <c r="X145" s="211"/>
      <c r="Y145" s="211"/>
      <c r="Z145" s="211"/>
      <c r="AA145" s="255"/>
      <c r="AB145" s="211"/>
      <c r="AC145" s="255"/>
      <c r="AD145" s="210"/>
      <c r="AE145" s="211"/>
      <c r="AF145" s="211"/>
      <c r="AG145" s="211"/>
      <c r="AH145" s="211"/>
      <c r="AI145" s="211"/>
      <c r="AJ145" s="211"/>
      <c r="AK145" s="211"/>
      <c r="AL145" s="211"/>
      <c r="AM145" s="211"/>
      <c r="AN145" s="211"/>
      <c r="AO145" s="211"/>
      <c r="AP145" s="211"/>
      <c r="AQ145" s="211"/>
      <c r="AR145" s="211"/>
      <c r="AS145" s="255"/>
      <c r="AT145" s="210"/>
      <c r="AU145" s="211"/>
      <c r="AV145" s="255"/>
      <c r="AW145" s="210"/>
      <c r="AX145" s="210"/>
      <c r="AY145" s="266"/>
      <c r="AZ145" s="266"/>
      <c r="BA145" s="266"/>
      <c r="BB145" s="266"/>
    </row>
    <row r="146" spans="1:56" x14ac:dyDescent="0.3">
      <c r="A146" s="222">
        <v>2024</v>
      </c>
      <c r="B146" s="222"/>
      <c r="C146" s="370" t="s">
        <v>203</v>
      </c>
      <c r="D146" s="194" t="s">
        <v>287</v>
      </c>
      <c r="E146" s="194" t="s">
        <v>130</v>
      </c>
      <c r="F146" s="370" t="s">
        <v>596</v>
      </c>
      <c r="G146" s="343">
        <v>3000000</v>
      </c>
      <c r="H146" s="286" t="s">
        <v>42</v>
      </c>
      <c r="I146" s="341" t="s">
        <v>503</v>
      </c>
      <c r="J146" s="341">
        <v>200</v>
      </c>
      <c r="K146" s="343"/>
      <c r="L146" s="341" t="s">
        <v>48</v>
      </c>
      <c r="M146" s="374" t="str">
        <f t="shared" ref="M146:M170" si="17">IFERROR(IF(AND(K146&lt;&gt;"Market",L146&lt;&gt;"TBD"),L146/K146,""),"")</f>
        <v/>
      </c>
      <c r="N146" s="211"/>
      <c r="O146" s="211"/>
      <c r="P146" s="211"/>
      <c r="Q146" s="255"/>
      <c r="R146" s="255"/>
      <c r="S146" s="370" t="s">
        <v>288</v>
      </c>
      <c r="T146" s="370"/>
      <c r="U146" s="211"/>
      <c r="V146" s="211"/>
      <c r="W146" s="211"/>
      <c r="X146" s="211"/>
      <c r="Y146" s="211"/>
      <c r="Z146" s="211"/>
      <c r="AA146" s="255"/>
      <c r="AB146" s="211"/>
      <c r="AC146" s="255"/>
      <c r="AD146" s="210"/>
      <c r="AE146" s="211"/>
      <c r="AF146" s="211"/>
      <c r="AG146" s="211"/>
      <c r="AH146" s="211"/>
      <c r="AI146" s="211"/>
      <c r="AJ146" s="211"/>
      <c r="AK146" s="211"/>
      <c r="AL146" s="211"/>
      <c r="AM146" s="211"/>
      <c r="AN146" s="211"/>
      <c r="AO146" s="211"/>
      <c r="AP146" s="211"/>
      <c r="AQ146" s="211"/>
      <c r="AR146" s="211"/>
      <c r="AS146" s="255"/>
      <c r="AT146" s="210"/>
      <c r="AU146" s="211"/>
      <c r="AV146" s="255"/>
      <c r="AW146" s="210"/>
      <c r="AX146" s="210"/>
      <c r="AY146" s="266"/>
      <c r="AZ146" s="266"/>
      <c r="BA146" s="266"/>
      <c r="BB146" s="266"/>
    </row>
    <row r="147" spans="1:56" x14ac:dyDescent="0.3">
      <c r="A147" s="222">
        <v>2024</v>
      </c>
      <c r="B147" s="222"/>
      <c r="C147" s="370" t="s">
        <v>289</v>
      </c>
      <c r="D147" s="370" t="s">
        <v>287</v>
      </c>
      <c r="E147" s="370" t="s">
        <v>130</v>
      </c>
      <c r="F147" s="370" t="s">
        <v>596</v>
      </c>
      <c r="G147" s="371">
        <v>4000000</v>
      </c>
      <c r="H147" s="286" t="s">
        <v>42</v>
      </c>
      <c r="I147" s="211" t="s">
        <v>503</v>
      </c>
      <c r="J147" s="285">
        <v>200</v>
      </c>
      <c r="K147" s="219"/>
      <c r="L147" s="211" t="s">
        <v>48</v>
      </c>
      <c r="M147" s="258" t="s">
        <v>100</v>
      </c>
      <c r="N147" s="211"/>
      <c r="O147" s="211"/>
      <c r="P147" s="211"/>
      <c r="Q147" s="255"/>
      <c r="R147" s="255"/>
      <c r="S147" s="370" t="s">
        <v>288</v>
      </c>
      <c r="T147" s="370"/>
      <c r="U147" s="211"/>
      <c r="V147" s="211"/>
      <c r="W147" s="211"/>
      <c r="X147" s="211"/>
      <c r="Y147" s="211"/>
      <c r="Z147" s="211"/>
      <c r="AA147" s="255"/>
      <c r="AB147" s="211"/>
      <c r="AC147" s="255"/>
      <c r="AD147" s="210"/>
      <c r="AE147" s="211"/>
      <c r="AF147" s="211"/>
      <c r="AG147" s="211"/>
      <c r="AH147" s="211"/>
      <c r="AI147" s="211"/>
      <c r="AJ147" s="211"/>
      <c r="AK147" s="211"/>
      <c r="AL147" s="211"/>
      <c r="AM147" s="211"/>
      <c r="AN147" s="211"/>
      <c r="AO147" s="211"/>
      <c r="AP147" s="211"/>
      <c r="AQ147" s="211"/>
      <c r="AR147" s="211"/>
      <c r="AS147" s="255"/>
      <c r="AT147" s="210"/>
      <c r="AU147" s="211"/>
      <c r="AV147" s="255"/>
      <c r="AW147" s="210"/>
      <c r="AX147" s="210"/>
      <c r="AY147" s="266"/>
      <c r="AZ147" s="266"/>
      <c r="BA147" s="266"/>
    </row>
    <row r="148" spans="1:56" x14ac:dyDescent="0.3">
      <c r="A148" s="222">
        <v>2024</v>
      </c>
      <c r="B148" s="222"/>
      <c r="C148" s="370" t="s">
        <v>290</v>
      </c>
      <c r="D148" s="370" t="s">
        <v>291</v>
      </c>
      <c r="E148" s="370" t="s">
        <v>53</v>
      </c>
      <c r="F148" s="370" t="s">
        <v>596</v>
      </c>
      <c r="G148" s="371">
        <v>16000000</v>
      </c>
      <c r="H148" s="286" t="s">
        <v>42</v>
      </c>
      <c r="I148" s="211" t="s">
        <v>503</v>
      </c>
      <c r="J148" s="285">
        <v>136</v>
      </c>
      <c r="K148" s="219"/>
      <c r="L148" s="211" t="s">
        <v>48</v>
      </c>
      <c r="M148" s="258" t="s">
        <v>100</v>
      </c>
      <c r="N148" s="211"/>
      <c r="O148" s="211"/>
      <c r="P148" s="211"/>
      <c r="Q148" s="255"/>
      <c r="R148" s="255"/>
      <c r="S148" s="370" t="s">
        <v>292</v>
      </c>
      <c r="T148" s="370"/>
      <c r="U148" s="211"/>
      <c r="V148" s="211"/>
      <c r="W148" s="211"/>
      <c r="X148" s="211"/>
      <c r="Y148" s="211"/>
      <c r="Z148" s="211"/>
      <c r="AA148" s="255"/>
      <c r="AB148" s="211"/>
      <c r="AC148" s="255"/>
      <c r="AD148" s="210"/>
      <c r="AE148" s="211"/>
      <c r="AF148" s="211"/>
      <c r="AG148" s="211"/>
      <c r="AH148" s="211"/>
      <c r="AI148" s="211"/>
      <c r="AJ148" s="211"/>
      <c r="AK148" s="211"/>
      <c r="AL148" s="211"/>
      <c r="AM148" s="211"/>
      <c r="AN148" s="211"/>
      <c r="AO148" s="211"/>
      <c r="AP148" s="211"/>
      <c r="AQ148" s="211"/>
      <c r="AR148" s="211"/>
      <c r="AS148" s="255"/>
      <c r="AT148" s="210"/>
      <c r="AU148" s="211"/>
      <c r="AV148" s="255"/>
      <c r="AW148" s="210"/>
      <c r="AX148" s="210"/>
      <c r="AY148" s="266"/>
      <c r="AZ148" s="266"/>
      <c r="BA148" s="266"/>
    </row>
    <row r="149" spans="1:56" x14ac:dyDescent="0.3">
      <c r="A149" s="222">
        <v>2024</v>
      </c>
      <c r="B149" s="222"/>
      <c r="C149" s="370" t="s">
        <v>293</v>
      </c>
      <c r="D149" s="370" t="s">
        <v>294</v>
      </c>
      <c r="E149" s="370" t="s">
        <v>295</v>
      </c>
      <c r="F149" s="370" t="s">
        <v>596</v>
      </c>
      <c r="G149" s="371">
        <v>15000000</v>
      </c>
      <c r="H149" s="286" t="s">
        <v>42</v>
      </c>
      <c r="I149" s="211" t="s">
        <v>503</v>
      </c>
      <c r="J149" s="285">
        <v>516</v>
      </c>
      <c r="K149" s="219"/>
      <c r="L149" s="211" t="s">
        <v>48</v>
      </c>
      <c r="M149" s="258" t="s">
        <v>100</v>
      </c>
      <c r="N149" s="211"/>
      <c r="O149" s="211"/>
      <c r="P149" s="211"/>
      <c r="Q149" s="255"/>
      <c r="R149" s="255"/>
      <c r="S149" s="370" t="s">
        <v>296</v>
      </c>
      <c r="T149" s="370"/>
      <c r="U149" s="211"/>
      <c r="V149" s="211"/>
      <c r="W149" s="211"/>
      <c r="X149" s="211"/>
      <c r="Y149" s="211"/>
      <c r="Z149" s="211"/>
      <c r="AA149" s="255"/>
      <c r="AB149" s="211"/>
      <c r="AC149" s="255"/>
      <c r="AD149" s="210"/>
      <c r="AE149" s="211"/>
      <c r="AF149" s="211"/>
      <c r="AG149" s="211"/>
      <c r="AH149" s="211"/>
      <c r="AI149" s="211"/>
      <c r="AJ149" s="211"/>
      <c r="AK149" s="211"/>
      <c r="AL149" s="211"/>
      <c r="AM149" s="211"/>
      <c r="AN149" s="211"/>
      <c r="AO149" s="211"/>
      <c r="AP149" s="211"/>
      <c r="AQ149" s="211"/>
      <c r="AR149" s="211"/>
      <c r="AS149" s="255"/>
      <c r="AT149" s="210"/>
      <c r="AU149" s="211"/>
      <c r="AV149" s="255"/>
      <c r="AW149" s="210"/>
      <c r="AX149" s="210"/>
      <c r="AY149" s="266"/>
      <c r="AZ149" s="266"/>
      <c r="BA149" s="266"/>
    </row>
    <row r="150" spans="1:56" x14ac:dyDescent="0.3">
      <c r="A150" s="222">
        <v>2024</v>
      </c>
      <c r="B150" s="222" t="s">
        <v>35</v>
      </c>
      <c r="C150" s="370" t="s">
        <v>301</v>
      </c>
      <c r="D150" s="370" t="s">
        <v>302</v>
      </c>
      <c r="E150" s="370" t="s">
        <v>31</v>
      </c>
      <c r="F150" s="370" t="s">
        <v>596</v>
      </c>
      <c r="G150" s="371">
        <v>10900000</v>
      </c>
      <c r="H150" s="286" t="s">
        <v>42</v>
      </c>
      <c r="I150" s="211" t="s">
        <v>503</v>
      </c>
      <c r="J150" s="285">
        <v>600</v>
      </c>
      <c r="K150" s="219"/>
      <c r="L150" s="211" t="s">
        <v>32</v>
      </c>
      <c r="M150" s="258" t="s">
        <v>504</v>
      </c>
      <c r="N150" s="211"/>
      <c r="O150" s="211"/>
      <c r="P150" s="211"/>
      <c r="Q150" s="255"/>
      <c r="R150" s="255"/>
      <c r="S150" s="370" t="s">
        <v>303</v>
      </c>
      <c r="T150" s="370"/>
      <c r="U150" s="211"/>
      <c r="V150" s="211"/>
      <c r="W150" s="211"/>
      <c r="X150" s="211"/>
      <c r="Y150" s="211"/>
      <c r="Z150" s="211"/>
      <c r="AA150" s="255"/>
      <c r="AB150" s="211"/>
      <c r="AC150" s="255"/>
      <c r="AD150" s="210"/>
      <c r="AE150" s="211"/>
      <c r="AF150" s="211"/>
      <c r="AG150" s="211"/>
      <c r="AH150" s="211"/>
      <c r="AI150" s="211"/>
      <c r="AJ150" s="211"/>
      <c r="AK150" s="211"/>
      <c r="AL150" s="211"/>
      <c r="AM150" s="211"/>
      <c r="AN150" s="211"/>
      <c r="AO150" s="211"/>
      <c r="AP150" s="211"/>
      <c r="AQ150" s="211"/>
      <c r="AR150" s="211"/>
      <c r="AS150" s="255"/>
      <c r="AT150" s="210"/>
      <c r="AU150" s="211"/>
      <c r="AV150" s="255"/>
      <c r="AW150" s="210"/>
      <c r="AX150" s="210"/>
      <c r="AY150" s="266"/>
      <c r="AZ150" s="266"/>
      <c r="BA150" s="266"/>
    </row>
    <row r="151" spans="1:56" x14ac:dyDescent="0.3">
      <c r="A151" s="222">
        <v>2024</v>
      </c>
      <c r="B151" s="222" t="s">
        <v>35</v>
      </c>
      <c r="C151" s="370" t="s">
        <v>304</v>
      </c>
      <c r="D151" s="370" t="s">
        <v>305</v>
      </c>
      <c r="E151" s="370" t="s">
        <v>31</v>
      </c>
      <c r="F151" s="370" t="s">
        <v>596</v>
      </c>
      <c r="G151" s="371">
        <v>20000000</v>
      </c>
      <c r="H151" s="286" t="s">
        <v>42</v>
      </c>
      <c r="I151" s="211" t="s">
        <v>503</v>
      </c>
      <c r="J151" s="285">
        <v>36</v>
      </c>
      <c r="K151" s="219"/>
      <c r="L151" s="211" t="s">
        <v>32</v>
      </c>
      <c r="M151" s="211" t="s">
        <v>100</v>
      </c>
      <c r="N151" s="211"/>
      <c r="O151" s="211"/>
      <c r="P151" s="211"/>
      <c r="Q151" s="255"/>
      <c r="R151" s="255"/>
      <c r="S151" s="370" t="s">
        <v>306</v>
      </c>
      <c r="T151" s="370"/>
      <c r="U151" s="211"/>
      <c r="V151" s="211"/>
      <c r="W151" s="211"/>
      <c r="X151" s="211"/>
      <c r="Y151" s="211"/>
      <c r="Z151" s="211"/>
      <c r="AA151" s="255"/>
      <c r="AB151" s="211"/>
      <c r="AC151" s="255"/>
      <c r="AD151" s="210"/>
      <c r="AE151" s="211"/>
      <c r="AF151" s="211"/>
      <c r="AG151" s="211"/>
      <c r="AH151" s="211"/>
      <c r="AI151" s="211"/>
      <c r="AJ151" s="211"/>
      <c r="AK151" s="211"/>
      <c r="AL151" s="211"/>
      <c r="AM151" s="211"/>
      <c r="AN151" s="211"/>
      <c r="AO151" s="211"/>
      <c r="AP151" s="211"/>
      <c r="AQ151" s="211"/>
      <c r="AR151" s="211"/>
      <c r="AS151" s="255"/>
      <c r="AT151" s="210"/>
      <c r="AU151" s="211"/>
      <c r="AV151" s="255"/>
      <c r="AW151" s="210"/>
      <c r="AX151" s="210"/>
      <c r="AY151" s="266"/>
      <c r="AZ151" s="266"/>
      <c r="BA151" s="266"/>
    </row>
    <row r="152" spans="1:56" x14ac:dyDescent="0.3">
      <c r="A152" s="222">
        <v>2023</v>
      </c>
      <c r="B152" s="222"/>
      <c r="C152" s="370" t="s">
        <v>123</v>
      </c>
      <c r="D152" s="373" t="s">
        <v>124</v>
      </c>
      <c r="E152" s="400" t="s">
        <v>31</v>
      </c>
      <c r="F152" s="370" t="s">
        <v>596</v>
      </c>
      <c r="G152" s="341" t="s">
        <v>42</v>
      </c>
      <c r="H152" s="286" t="s">
        <v>42</v>
      </c>
      <c r="I152" s="341" t="s">
        <v>503</v>
      </c>
      <c r="J152" s="341" t="s">
        <v>42</v>
      </c>
      <c r="L152" s="341" t="s">
        <v>48</v>
      </c>
      <c r="M152" s="401" t="s">
        <v>100</v>
      </c>
      <c r="N152" s="211" t="s">
        <v>35</v>
      </c>
      <c r="O152" s="211" t="str">
        <f>IFERROR(IF(AND(AND(M152&lt;&gt;"Market",M152&lt;&gt;"TBD"),N152&lt;&gt;"TBD"),N152/M152,""),"")</f>
        <v/>
      </c>
      <c r="P152" s="211"/>
      <c r="Q152" s="255"/>
      <c r="R152" s="255"/>
      <c r="S152" s="370" t="s">
        <v>125</v>
      </c>
      <c r="T152" s="370"/>
      <c r="U152" s="211"/>
      <c r="V152" s="211"/>
      <c r="W152" s="211"/>
      <c r="X152" s="211"/>
      <c r="Y152" s="211"/>
      <c r="Z152" s="211"/>
      <c r="AA152" s="255"/>
      <c r="AB152" s="211"/>
      <c r="AC152" s="255"/>
      <c r="AD152" s="210"/>
      <c r="AE152" s="211"/>
      <c r="AF152" s="211"/>
      <c r="AG152" s="211"/>
      <c r="AH152" s="211"/>
      <c r="AI152" s="211"/>
      <c r="AJ152" s="211"/>
      <c r="AK152" s="211"/>
      <c r="AL152" s="211"/>
      <c r="AM152" s="211"/>
      <c r="AN152" s="211"/>
      <c r="AO152" s="211"/>
      <c r="AP152" s="211"/>
      <c r="AQ152" s="211"/>
      <c r="AR152" s="211"/>
      <c r="AS152" s="255"/>
      <c r="AT152" s="210"/>
      <c r="AU152" s="211"/>
      <c r="AV152" s="255"/>
      <c r="AW152" s="210"/>
      <c r="AX152" s="210"/>
      <c r="AY152" s="266"/>
      <c r="AZ152" s="266"/>
      <c r="BA152" s="266"/>
      <c r="BB152" s="266"/>
      <c r="BC152" s="266"/>
      <c r="BD152" s="266"/>
    </row>
    <row r="153" spans="1:56" x14ac:dyDescent="0.3">
      <c r="A153" s="222">
        <v>2024</v>
      </c>
      <c r="B153" s="222" t="s">
        <v>35</v>
      </c>
      <c r="C153" s="370" t="s">
        <v>307</v>
      </c>
      <c r="D153" s="370" t="s">
        <v>308</v>
      </c>
      <c r="E153" s="370" t="s">
        <v>75</v>
      </c>
      <c r="F153" s="370" t="s">
        <v>596</v>
      </c>
      <c r="G153" s="371">
        <v>14000000</v>
      </c>
      <c r="H153" s="286" t="s">
        <v>42</v>
      </c>
      <c r="I153" s="211" t="s">
        <v>503</v>
      </c>
      <c r="J153" s="285">
        <v>620</v>
      </c>
      <c r="K153" s="219"/>
      <c r="L153" s="211" t="s">
        <v>48</v>
      </c>
      <c r="M153" s="211" t="s">
        <v>100</v>
      </c>
      <c r="N153" s="211" t="s">
        <v>35</v>
      </c>
      <c r="O153" s="211"/>
      <c r="P153" s="211"/>
      <c r="Q153" s="255"/>
      <c r="R153" s="255"/>
      <c r="S153" s="370" t="s">
        <v>309</v>
      </c>
      <c r="T153" s="370"/>
      <c r="U153" s="211"/>
      <c r="V153" s="211"/>
      <c r="W153" s="211"/>
      <c r="X153" s="211"/>
      <c r="Y153" s="211"/>
      <c r="Z153" s="211"/>
      <c r="AA153" s="255"/>
      <c r="AB153" s="211"/>
      <c r="AC153" s="255"/>
      <c r="AD153" s="210"/>
      <c r="AE153" s="211"/>
      <c r="AF153" s="211"/>
      <c r="AG153" s="211"/>
      <c r="AH153" s="211"/>
      <c r="AI153" s="211"/>
      <c r="AJ153" s="211"/>
      <c r="AK153" s="211"/>
      <c r="AL153" s="211"/>
      <c r="AM153" s="211"/>
      <c r="AN153" s="211"/>
      <c r="AO153" s="211"/>
      <c r="AP153" s="211"/>
      <c r="AQ153" s="211"/>
      <c r="AR153" s="211"/>
      <c r="AS153" s="255"/>
      <c r="AT153" s="210"/>
      <c r="AU153" s="211"/>
      <c r="AV153" s="255"/>
      <c r="AW153" s="210"/>
      <c r="AX153" s="210"/>
      <c r="AY153" s="266"/>
      <c r="AZ153" s="266"/>
      <c r="BA153" s="266"/>
    </row>
    <row r="154" spans="1:56" x14ac:dyDescent="0.3">
      <c r="A154" s="222">
        <v>2024</v>
      </c>
      <c r="B154" s="222"/>
      <c r="C154" s="370" t="s">
        <v>310</v>
      </c>
      <c r="D154" s="370" t="s">
        <v>287</v>
      </c>
      <c r="E154" s="370" t="s">
        <v>130</v>
      </c>
      <c r="F154" s="370" t="s">
        <v>596</v>
      </c>
      <c r="G154" s="371">
        <v>8000000</v>
      </c>
      <c r="H154" s="286" t="s">
        <v>42</v>
      </c>
      <c r="I154" s="211" t="s">
        <v>503</v>
      </c>
      <c r="J154" s="285">
        <v>240</v>
      </c>
      <c r="K154" s="219"/>
      <c r="L154" s="211" t="s">
        <v>48</v>
      </c>
      <c r="M154" s="211" t="s">
        <v>100</v>
      </c>
      <c r="N154" s="211"/>
      <c r="O154" s="211"/>
      <c r="P154" s="211"/>
      <c r="Q154" s="255"/>
      <c r="R154" s="255"/>
      <c r="S154" s="370" t="s">
        <v>311</v>
      </c>
      <c r="T154" s="370"/>
      <c r="U154" s="211"/>
      <c r="V154" s="211"/>
      <c r="W154" s="211"/>
      <c r="X154" s="211"/>
      <c r="Y154" s="211"/>
      <c r="Z154" s="211"/>
      <c r="AA154" s="255"/>
      <c r="AB154" s="211"/>
      <c r="AC154" s="255"/>
      <c r="AD154" s="210"/>
      <c r="AE154" s="211"/>
      <c r="AF154" s="211"/>
      <c r="AG154" s="211"/>
      <c r="AH154" s="211"/>
      <c r="AI154" s="211"/>
      <c r="AJ154" s="211"/>
      <c r="AK154" s="211"/>
      <c r="AL154" s="211"/>
      <c r="AM154" s="211"/>
      <c r="AN154" s="211"/>
      <c r="AO154" s="211"/>
      <c r="AP154" s="211"/>
      <c r="AQ154" s="211"/>
      <c r="AR154" s="211"/>
      <c r="AS154" s="255"/>
      <c r="AT154" s="210"/>
      <c r="AU154" s="211"/>
      <c r="AV154" s="255"/>
      <c r="AW154" s="210"/>
      <c r="AX154" s="210"/>
      <c r="AY154" s="266"/>
      <c r="AZ154" s="266"/>
      <c r="BA154" s="266"/>
    </row>
    <row r="155" spans="1:56" x14ac:dyDescent="0.3">
      <c r="A155" s="222">
        <v>2024</v>
      </c>
      <c r="B155" s="222" t="s">
        <v>35</v>
      </c>
      <c r="C155" s="370" t="s">
        <v>312</v>
      </c>
      <c r="D155" s="370" t="s">
        <v>313</v>
      </c>
      <c r="E155" s="370" t="s">
        <v>115</v>
      </c>
      <c r="F155" s="370" t="s">
        <v>596</v>
      </c>
      <c r="G155" s="371" t="s">
        <v>314</v>
      </c>
      <c r="H155" s="286" t="s">
        <v>42</v>
      </c>
      <c r="I155" s="211" t="s">
        <v>503</v>
      </c>
      <c r="J155" s="285">
        <v>365</v>
      </c>
      <c r="K155" s="219"/>
      <c r="L155" s="211" t="s">
        <v>32</v>
      </c>
      <c r="M155" s="211" t="s">
        <v>100</v>
      </c>
      <c r="N155" s="211"/>
      <c r="O155" s="211"/>
      <c r="P155" s="211"/>
      <c r="Q155" s="255"/>
      <c r="R155" s="255"/>
      <c r="S155" s="370" t="s">
        <v>315</v>
      </c>
      <c r="T155" s="370"/>
      <c r="U155" s="211"/>
      <c r="V155" s="211"/>
      <c r="W155" s="211"/>
      <c r="X155" s="211"/>
      <c r="Y155" s="211"/>
      <c r="Z155" s="211"/>
      <c r="AA155" s="255"/>
      <c r="AB155" s="211"/>
      <c r="AC155" s="255"/>
      <c r="AD155" s="210"/>
      <c r="AE155" s="211"/>
      <c r="AF155" s="211"/>
      <c r="AG155" s="211"/>
      <c r="AH155" s="211"/>
      <c r="AI155" s="211"/>
      <c r="AJ155" s="211"/>
      <c r="AK155" s="211"/>
      <c r="AL155" s="211"/>
      <c r="AM155" s="211"/>
      <c r="AN155" s="211"/>
      <c r="AO155" s="211"/>
      <c r="AP155" s="211"/>
      <c r="AQ155" s="211"/>
      <c r="AR155" s="211"/>
      <c r="AS155" s="255"/>
      <c r="AT155" s="210"/>
      <c r="AU155" s="211"/>
      <c r="AV155" s="255"/>
      <c r="AW155" s="210"/>
      <c r="AX155" s="210"/>
      <c r="AY155" s="266"/>
      <c r="AZ155" s="266"/>
      <c r="BA155" s="266"/>
    </row>
    <row r="156" spans="1:56" x14ac:dyDescent="0.3">
      <c r="A156" s="222">
        <v>2023</v>
      </c>
      <c r="B156" s="222" t="s">
        <v>35</v>
      </c>
      <c r="C156" s="370" t="s">
        <v>319</v>
      </c>
      <c r="D156" s="370" t="s">
        <v>317</v>
      </c>
      <c r="E156" s="370" t="s">
        <v>252</v>
      </c>
      <c r="F156" s="370" t="s">
        <v>596</v>
      </c>
      <c r="G156" s="371">
        <v>7500000</v>
      </c>
      <c r="H156" s="286" t="s">
        <v>42</v>
      </c>
      <c r="I156" s="211" t="s">
        <v>503</v>
      </c>
      <c r="J156" s="285">
        <v>100</v>
      </c>
      <c r="K156" s="219"/>
      <c r="L156" s="211" t="s">
        <v>48</v>
      </c>
      <c r="M156" s="211" t="s">
        <v>100</v>
      </c>
      <c r="N156" s="211" t="s">
        <v>35</v>
      </c>
      <c r="O156" s="211"/>
      <c r="P156" s="211"/>
      <c r="Q156" s="255"/>
      <c r="R156" s="255"/>
      <c r="S156" s="370" t="s">
        <v>320</v>
      </c>
      <c r="T156" s="370"/>
      <c r="U156" s="211"/>
      <c r="V156" s="211"/>
      <c r="W156" s="211"/>
      <c r="X156" s="211"/>
      <c r="Y156" s="211"/>
      <c r="Z156" s="211"/>
      <c r="AA156" s="255"/>
      <c r="AB156" s="211"/>
      <c r="AC156" s="255"/>
      <c r="AD156" s="210"/>
      <c r="AE156" s="211"/>
      <c r="AF156" s="211"/>
      <c r="AG156" s="211"/>
      <c r="AH156" s="211"/>
      <c r="AI156" s="211"/>
      <c r="AJ156" s="211"/>
      <c r="AK156" s="211"/>
      <c r="AL156" s="211"/>
      <c r="AM156" s="211"/>
      <c r="AN156" s="211"/>
      <c r="AO156" s="211"/>
      <c r="AP156" s="211"/>
      <c r="AQ156" s="211"/>
      <c r="AR156" s="211"/>
      <c r="AS156" s="255"/>
      <c r="AT156" s="210"/>
      <c r="AU156" s="211"/>
      <c r="AV156" s="255"/>
      <c r="AW156" s="210"/>
      <c r="AX156" s="210"/>
      <c r="AY156" s="266"/>
      <c r="AZ156" s="266"/>
      <c r="BA156" s="266"/>
    </row>
    <row r="157" spans="1:56" x14ac:dyDescent="0.3">
      <c r="A157" s="222">
        <v>2024</v>
      </c>
      <c r="B157" s="222" t="s">
        <v>35</v>
      </c>
      <c r="C157" s="370" t="s">
        <v>327</v>
      </c>
      <c r="D157" s="370" t="s">
        <v>328</v>
      </c>
      <c r="E157" s="370" t="s">
        <v>75</v>
      </c>
      <c r="F157" s="370" t="s">
        <v>596</v>
      </c>
      <c r="G157" s="371">
        <v>2400000</v>
      </c>
      <c r="H157" s="286" t="s">
        <v>42</v>
      </c>
      <c r="I157" s="211" t="s">
        <v>503</v>
      </c>
      <c r="J157" s="285">
        <v>226</v>
      </c>
      <c r="K157" s="219"/>
      <c r="L157" s="211" t="s">
        <v>32</v>
      </c>
      <c r="M157" s="258" t="s">
        <v>547</v>
      </c>
      <c r="N157" s="211"/>
      <c r="O157" s="211"/>
      <c r="P157" s="211"/>
      <c r="Q157" s="255"/>
      <c r="R157" s="255"/>
      <c r="S157" s="370" t="s">
        <v>329</v>
      </c>
      <c r="T157" s="370"/>
      <c r="U157" s="211"/>
      <c r="V157" s="211"/>
      <c r="W157" s="211"/>
      <c r="X157" s="211"/>
      <c r="Y157" s="211"/>
      <c r="Z157" s="211"/>
      <c r="AA157" s="255"/>
      <c r="AB157" s="211"/>
      <c r="AC157" s="255"/>
      <c r="AD157" s="210"/>
      <c r="AE157" s="211"/>
      <c r="AF157" s="211"/>
      <c r="AG157" s="211"/>
      <c r="AH157" s="211"/>
      <c r="AI157" s="211"/>
      <c r="AJ157" s="211"/>
      <c r="AK157" s="211"/>
      <c r="AL157" s="211"/>
      <c r="AM157" s="211"/>
      <c r="AN157" s="211"/>
      <c r="AO157" s="211"/>
      <c r="AP157" s="211"/>
      <c r="AQ157" s="211"/>
      <c r="AR157" s="211"/>
      <c r="AS157" s="255"/>
      <c r="AT157" s="210"/>
      <c r="AU157" s="211"/>
      <c r="AV157" s="255"/>
      <c r="AW157" s="210"/>
      <c r="AX157" s="210"/>
      <c r="AY157" s="266"/>
      <c r="AZ157" s="266"/>
      <c r="BA157" s="266"/>
    </row>
    <row r="158" spans="1:56" x14ac:dyDescent="0.3">
      <c r="A158" s="222">
        <v>2024</v>
      </c>
      <c r="B158" s="222"/>
      <c r="C158" s="370" t="s">
        <v>333</v>
      </c>
      <c r="D158" s="370" t="s">
        <v>334</v>
      </c>
      <c r="E158" s="370" t="s">
        <v>335</v>
      </c>
      <c r="F158" s="370" t="s">
        <v>596</v>
      </c>
      <c r="G158" s="371">
        <v>6000000</v>
      </c>
      <c r="H158" s="286" t="s">
        <v>42</v>
      </c>
      <c r="I158" s="211" t="s">
        <v>503</v>
      </c>
      <c r="J158" s="285">
        <v>40</v>
      </c>
      <c r="K158" s="219"/>
      <c r="L158" s="211" t="s">
        <v>32</v>
      </c>
      <c r="M158" s="211" t="s">
        <v>100</v>
      </c>
      <c r="N158" s="211"/>
      <c r="O158" s="211"/>
      <c r="P158" s="211"/>
      <c r="Q158" s="255"/>
      <c r="R158" s="255"/>
      <c r="S158" s="370"/>
      <c r="T158" s="370"/>
      <c r="U158" s="211"/>
      <c r="V158" s="211"/>
      <c r="W158" s="211"/>
      <c r="X158" s="211"/>
      <c r="Y158" s="211"/>
      <c r="Z158" s="211"/>
      <c r="AA158" s="255"/>
      <c r="AB158" s="211"/>
      <c r="AC158" s="255"/>
      <c r="AD158" s="210"/>
      <c r="AE158" s="211"/>
      <c r="AF158" s="211"/>
      <c r="AG158" s="211"/>
      <c r="AH158" s="211"/>
      <c r="AI158" s="211"/>
      <c r="AJ158" s="211"/>
      <c r="AK158" s="211"/>
      <c r="AL158" s="211"/>
      <c r="AM158" s="211"/>
      <c r="AN158" s="211"/>
      <c r="AO158" s="211"/>
      <c r="AP158" s="211"/>
      <c r="AQ158" s="211"/>
      <c r="AR158" s="211"/>
      <c r="AS158" s="255"/>
      <c r="AT158" s="210"/>
      <c r="AU158" s="211"/>
      <c r="AV158" s="255"/>
      <c r="AW158" s="210"/>
      <c r="AX158" s="210"/>
      <c r="AY158" s="266"/>
      <c r="AZ158" s="266"/>
      <c r="BA158" s="266"/>
    </row>
    <row r="159" spans="1:56" x14ac:dyDescent="0.3">
      <c r="A159" s="222">
        <v>2024</v>
      </c>
      <c r="B159" s="222" t="s">
        <v>35</v>
      </c>
      <c r="C159" s="370" t="s">
        <v>336</v>
      </c>
      <c r="D159" s="370" t="s">
        <v>337</v>
      </c>
      <c r="E159" s="370" t="s">
        <v>94</v>
      </c>
      <c r="F159" s="370" t="s">
        <v>596</v>
      </c>
      <c r="G159" s="371">
        <v>15000000</v>
      </c>
      <c r="H159" s="286" t="s">
        <v>42</v>
      </c>
      <c r="I159" s="211" t="s">
        <v>503</v>
      </c>
      <c r="J159" s="285">
        <v>236</v>
      </c>
      <c r="K159" s="219"/>
      <c r="L159" s="211" t="s">
        <v>32</v>
      </c>
      <c r="M159" s="211" t="s">
        <v>100</v>
      </c>
      <c r="N159" s="211"/>
      <c r="O159" s="211"/>
      <c r="P159" s="211"/>
      <c r="Q159" s="255"/>
      <c r="R159" s="255"/>
      <c r="S159" s="370" t="s">
        <v>338</v>
      </c>
      <c r="T159" s="370"/>
      <c r="U159" s="211"/>
      <c r="V159" s="211"/>
      <c r="W159" s="211"/>
      <c r="X159" s="211"/>
      <c r="Y159" s="211"/>
      <c r="Z159" s="211"/>
      <c r="AA159" s="255"/>
      <c r="AB159" s="211"/>
      <c r="AC159" s="255"/>
      <c r="AD159" s="210"/>
      <c r="AE159" s="211"/>
      <c r="AF159" s="211"/>
      <c r="AG159" s="211"/>
      <c r="AH159" s="211"/>
      <c r="AI159" s="211"/>
      <c r="AJ159" s="211"/>
      <c r="AK159" s="211"/>
      <c r="AL159" s="211"/>
      <c r="AM159" s="211"/>
      <c r="AN159" s="211"/>
      <c r="AO159" s="211"/>
      <c r="AP159" s="211"/>
      <c r="AQ159" s="211"/>
      <c r="AR159" s="211"/>
      <c r="AS159" s="255"/>
      <c r="AT159" s="210"/>
      <c r="AU159" s="211"/>
      <c r="AV159" s="255"/>
      <c r="AW159" s="210"/>
      <c r="AX159" s="210"/>
      <c r="AY159" s="266"/>
      <c r="AZ159" s="266"/>
      <c r="BA159" s="266"/>
    </row>
    <row r="160" spans="1:56" x14ac:dyDescent="0.3">
      <c r="A160" s="222">
        <v>2024</v>
      </c>
      <c r="B160" s="222" t="s">
        <v>35</v>
      </c>
      <c r="C160" s="370" t="s">
        <v>344</v>
      </c>
      <c r="D160" s="194" t="s">
        <v>345</v>
      </c>
      <c r="E160" s="194" t="s">
        <v>299</v>
      </c>
      <c r="F160" s="370" t="s">
        <v>596</v>
      </c>
      <c r="G160" s="343">
        <v>11500000</v>
      </c>
      <c r="H160" s="286" t="s">
        <v>42</v>
      </c>
      <c r="I160" s="211" t="s">
        <v>503</v>
      </c>
      <c r="J160" s="352">
        <v>266</v>
      </c>
      <c r="K160" s="343"/>
      <c r="L160" s="341" t="s">
        <v>48</v>
      </c>
      <c r="M160" s="374" t="s">
        <v>609</v>
      </c>
      <c r="N160" s="211" t="s">
        <v>35</v>
      </c>
      <c r="O160" s="211"/>
      <c r="P160" s="211"/>
      <c r="Q160" s="255"/>
      <c r="R160" s="255"/>
      <c r="S160" s="370" t="s">
        <v>346</v>
      </c>
      <c r="T160" s="370"/>
      <c r="U160" s="211"/>
      <c r="V160" s="211"/>
      <c r="W160" s="211"/>
      <c r="X160" s="211"/>
      <c r="Y160" s="211"/>
      <c r="Z160" s="211"/>
      <c r="AA160" s="255"/>
      <c r="AB160" s="211"/>
      <c r="AC160" s="255"/>
      <c r="AD160" s="210"/>
      <c r="AE160" s="211"/>
      <c r="AF160" s="211"/>
      <c r="AG160" s="211"/>
      <c r="AH160" s="211"/>
      <c r="AI160" s="211"/>
      <c r="AJ160" s="211"/>
      <c r="AK160" s="211"/>
      <c r="AL160" s="211"/>
      <c r="AM160" s="211"/>
      <c r="AN160" s="211"/>
      <c r="AO160" s="211"/>
      <c r="AP160" s="211"/>
      <c r="AQ160" s="211"/>
      <c r="AR160" s="211"/>
      <c r="AS160" s="255"/>
      <c r="AT160" s="210"/>
      <c r="AU160" s="211"/>
      <c r="AV160" s="255"/>
      <c r="AW160" s="210"/>
      <c r="AX160" s="210"/>
      <c r="AY160" s="266"/>
      <c r="AZ160" s="266"/>
      <c r="BA160" s="266"/>
    </row>
    <row r="161" spans="1:54" x14ac:dyDescent="0.3">
      <c r="A161" s="222">
        <v>2024</v>
      </c>
      <c r="B161" s="222" t="s">
        <v>35</v>
      </c>
      <c r="C161" s="370" t="s">
        <v>347</v>
      </c>
      <c r="D161" s="194" t="s">
        <v>348</v>
      </c>
      <c r="E161" s="194" t="s">
        <v>299</v>
      </c>
      <c r="F161" s="370" t="s">
        <v>596</v>
      </c>
      <c r="G161" s="343">
        <v>8000000</v>
      </c>
      <c r="H161" s="286" t="s">
        <v>42</v>
      </c>
      <c r="I161" s="341" t="s">
        <v>531</v>
      </c>
      <c r="J161" s="352">
        <v>212</v>
      </c>
      <c r="K161" s="343"/>
      <c r="L161" s="341" t="s">
        <v>32</v>
      </c>
      <c r="M161" s="374" t="str">
        <f t="shared" si="17"/>
        <v/>
      </c>
      <c r="N161" s="211"/>
      <c r="O161" s="211"/>
      <c r="P161" s="211"/>
      <c r="Q161" s="255"/>
      <c r="R161" s="255"/>
      <c r="S161" s="370" t="s">
        <v>349</v>
      </c>
      <c r="T161" s="370"/>
      <c r="U161" s="211"/>
      <c r="V161" s="211"/>
      <c r="W161" s="211"/>
      <c r="X161" s="211"/>
      <c r="Y161" s="211"/>
      <c r="Z161" s="211"/>
      <c r="AA161" s="255"/>
      <c r="AB161" s="211"/>
      <c r="AC161" s="255"/>
      <c r="AD161" s="210"/>
      <c r="AE161" s="211"/>
      <c r="AF161" s="211"/>
      <c r="AG161" s="211"/>
      <c r="AH161" s="211"/>
      <c r="AI161" s="211"/>
      <c r="AJ161" s="211"/>
      <c r="AK161" s="211"/>
      <c r="AL161" s="211"/>
      <c r="AM161" s="211"/>
      <c r="AN161" s="211"/>
      <c r="AO161" s="211"/>
      <c r="AP161" s="211"/>
      <c r="AQ161" s="211"/>
      <c r="AR161" s="211"/>
      <c r="AS161" s="255"/>
      <c r="AT161" s="210"/>
      <c r="AU161" s="211"/>
      <c r="AV161" s="255"/>
      <c r="AW161" s="210"/>
      <c r="AX161" s="210"/>
      <c r="AY161" s="266"/>
      <c r="AZ161" s="266"/>
      <c r="BA161" s="266"/>
    </row>
    <row r="162" spans="1:54" x14ac:dyDescent="0.3">
      <c r="A162" s="222">
        <v>2024</v>
      </c>
      <c r="B162" s="222" t="s">
        <v>35</v>
      </c>
      <c r="C162" s="370" t="s">
        <v>350</v>
      </c>
      <c r="D162" s="194" t="s">
        <v>291</v>
      </c>
      <c r="E162" s="194" t="s">
        <v>53</v>
      </c>
      <c r="F162" s="370" t="s">
        <v>596</v>
      </c>
      <c r="G162" s="343">
        <v>7500000</v>
      </c>
      <c r="H162" s="286" t="s">
        <v>42</v>
      </c>
      <c r="I162" s="211" t="s">
        <v>503</v>
      </c>
      <c r="J162" s="352">
        <v>90</v>
      </c>
      <c r="K162" s="343"/>
      <c r="L162" s="341" t="s">
        <v>32</v>
      </c>
      <c r="M162" s="374" t="str">
        <f t="shared" si="17"/>
        <v/>
      </c>
      <c r="N162" s="211"/>
      <c r="O162" s="211"/>
      <c r="P162" s="211"/>
      <c r="Q162" s="255"/>
      <c r="R162" s="255"/>
      <c r="S162" s="370" t="s">
        <v>351</v>
      </c>
      <c r="T162" s="370"/>
      <c r="U162" s="211"/>
      <c r="V162" s="211"/>
      <c r="W162" s="211"/>
      <c r="X162" s="211"/>
      <c r="Y162" s="211"/>
      <c r="Z162" s="211"/>
      <c r="AA162" s="255"/>
      <c r="AB162" s="211"/>
      <c r="AC162" s="255"/>
      <c r="AD162" s="210"/>
      <c r="AE162" s="211"/>
      <c r="AF162" s="211"/>
      <c r="AG162" s="211"/>
      <c r="AH162" s="211"/>
      <c r="AI162" s="211"/>
      <c r="AJ162" s="211"/>
      <c r="AK162" s="211"/>
      <c r="AL162" s="211"/>
      <c r="AM162" s="211"/>
      <c r="AN162" s="211"/>
      <c r="AO162" s="211"/>
      <c r="AP162" s="211"/>
      <c r="AQ162" s="211"/>
      <c r="AR162" s="211"/>
      <c r="AS162" s="255"/>
      <c r="AT162" s="210"/>
      <c r="AU162" s="211"/>
      <c r="AV162" s="255"/>
      <c r="AW162" s="210"/>
      <c r="AX162" s="210"/>
      <c r="AY162" s="266"/>
      <c r="AZ162" s="266"/>
      <c r="BA162" s="266"/>
    </row>
    <row r="163" spans="1:54" x14ac:dyDescent="0.3">
      <c r="A163" s="222">
        <v>2024</v>
      </c>
      <c r="B163" s="222" t="s">
        <v>35</v>
      </c>
      <c r="C163" s="370" t="s">
        <v>352</v>
      </c>
      <c r="D163" s="194" t="s">
        <v>353</v>
      </c>
      <c r="E163" s="194" t="s">
        <v>31</v>
      </c>
      <c r="F163" s="370" t="s">
        <v>596</v>
      </c>
      <c r="G163" s="343">
        <v>65000000</v>
      </c>
      <c r="H163" s="286" t="s">
        <v>42</v>
      </c>
      <c r="I163" s="211" t="s">
        <v>503</v>
      </c>
      <c r="J163" s="352">
        <v>105</v>
      </c>
      <c r="K163" s="343"/>
      <c r="L163" s="341" t="s">
        <v>32</v>
      </c>
      <c r="M163" s="374" t="str">
        <f t="shared" si="17"/>
        <v/>
      </c>
      <c r="N163" s="211"/>
      <c r="O163" s="211"/>
      <c r="P163" s="211"/>
      <c r="Q163" s="255"/>
      <c r="R163" s="255"/>
      <c r="S163" s="370" t="s">
        <v>354</v>
      </c>
      <c r="T163" s="370"/>
      <c r="U163" s="211"/>
      <c r="V163" s="211"/>
      <c r="W163" s="211"/>
      <c r="X163" s="211"/>
      <c r="Y163" s="211"/>
      <c r="Z163" s="211"/>
      <c r="AA163" s="255"/>
      <c r="AB163" s="211"/>
      <c r="AC163" s="255"/>
      <c r="AD163" s="210"/>
      <c r="AE163" s="211"/>
      <c r="AF163" s="211"/>
      <c r="AG163" s="211"/>
      <c r="AH163" s="211"/>
      <c r="AI163" s="211"/>
      <c r="AJ163" s="211"/>
      <c r="AK163" s="211"/>
      <c r="AL163" s="211"/>
      <c r="AM163" s="211"/>
      <c r="AN163" s="211"/>
      <c r="AO163" s="211"/>
      <c r="AP163" s="211"/>
      <c r="AQ163" s="211"/>
      <c r="AR163" s="211"/>
      <c r="AS163" s="255"/>
      <c r="AT163" s="210"/>
      <c r="AU163" s="211"/>
      <c r="AV163" s="255"/>
      <c r="AW163" s="210"/>
      <c r="AX163" s="210"/>
      <c r="AY163" s="266"/>
      <c r="AZ163" s="266"/>
      <c r="BA163" s="266"/>
    </row>
    <row r="164" spans="1:54" x14ac:dyDescent="0.3">
      <c r="A164" s="222">
        <v>2024</v>
      </c>
      <c r="B164" s="222" t="s">
        <v>35</v>
      </c>
      <c r="C164" s="370" t="s">
        <v>355</v>
      </c>
      <c r="D164" s="194" t="s">
        <v>356</v>
      </c>
      <c r="E164" s="194" t="s">
        <v>31</v>
      </c>
      <c r="F164" s="370" t="s">
        <v>596</v>
      </c>
      <c r="G164" s="343" t="s">
        <v>42</v>
      </c>
      <c r="H164" s="286" t="s">
        <v>42</v>
      </c>
      <c r="I164" s="341" t="s">
        <v>531</v>
      </c>
      <c r="J164" s="352">
        <v>126</v>
      </c>
      <c r="K164" s="343"/>
      <c r="L164" s="341" t="s">
        <v>32</v>
      </c>
      <c r="M164" s="374" t="str">
        <f t="shared" si="17"/>
        <v/>
      </c>
      <c r="N164" s="211"/>
      <c r="O164" s="211"/>
      <c r="P164" s="211"/>
      <c r="Q164" s="255"/>
      <c r="R164" s="255"/>
      <c r="S164" s="370" t="s">
        <v>357</v>
      </c>
      <c r="T164" s="370"/>
      <c r="U164" s="211"/>
      <c r="V164" s="211"/>
      <c r="W164" s="211"/>
      <c r="X164" s="211"/>
      <c r="Y164" s="211"/>
      <c r="Z164" s="211"/>
      <c r="AA164" s="255"/>
      <c r="AB164" s="211"/>
      <c r="AC164" s="255"/>
      <c r="AD164" s="210"/>
      <c r="AE164" s="211"/>
      <c r="AF164" s="211"/>
      <c r="AG164" s="211"/>
      <c r="AH164" s="211"/>
      <c r="AI164" s="211"/>
      <c r="AJ164" s="211"/>
      <c r="AK164" s="211"/>
      <c r="AL164" s="211"/>
      <c r="AM164" s="211"/>
      <c r="AN164" s="211"/>
      <c r="AO164" s="211"/>
      <c r="AP164" s="211"/>
      <c r="AQ164" s="211"/>
      <c r="AR164" s="211"/>
      <c r="AS164" s="255"/>
      <c r="AT164" s="210"/>
      <c r="AU164" s="211"/>
      <c r="AV164" s="255"/>
      <c r="AW164" s="210"/>
      <c r="AX164" s="210"/>
      <c r="AY164" s="266"/>
      <c r="AZ164" s="266"/>
      <c r="BA164" s="266"/>
    </row>
    <row r="165" spans="1:54" x14ac:dyDescent="0.3">
      <c r="A165" s="222">
        <v>2024</v>
      </c>
      <c r="B165" s="222" t="s">
        <v>35</v>
      </c>
      <c r="C165" s="370" t="s">
        <v>358</v>
      </c>
      <c r="D165" s="194" t="s">
        <v>80</v>
      </c>
      <c r="E165" s="194" t="s">
        <v>31</v>
      </c>
      <c r="F165" s="370" t="s">
        <v>596</v>
      </c>
      <c r="G165" s="343">
        <v>8000000</v>
      </c>
      <c r="H165" s="286" t="s">
        <v>42</v>
      </c>
      <c r="I165" s="211" t="s">
        <v>503</v>
      </c>
      <c r="J165" s="341">
        <v>105</v>
      </c>
      <c r="K165" s="343"/>
      <c r="L165" s="341" t="s">
        <v>32</v>
      </c>
      <c r="M165" s="374" t="str">
        <f t="shared" si="17"/>
        <v/>
      </c>
      <c r="N165" s="211"/>
      <c r="O165" s="211"/>
      <c r="P165" s="211"/>
      <c r="Q165" s="255"/>
      <c r="R165" s="255"/>
      <c r="S165" s="370" t="s">
        <v>360</v>
      </c>
      <c r="T165" s="370"/>
      <c r="U165" s="211"/>
      <c r="V165" s="211"/>
      <c r="W165" s="211"/>
      <c r="X165" s="211"/>
      <c r="Y165" s="211"/>
      <c r="Z165" s="211"/>
      <c r="AA165" s="255"/>
      <c r="AB165" s="211"/>
      <c r="AC165" s="255"/>
      <c r="AD165" s="210"/>
      <c r="AE165" s="211"/>
      <c r="AF165" s="211"/>
      <c r="AG165" s="211"/>
      <c r="AH165" s="211"/>
      <c r="AI165" s="211"/>
      <c r="AJ165" s="211"/>
      <c r="AK165" s="211"/>
      <c r="AL165" s="211"/>
      <c r="AM165" s="211"/>
      <c r="AN165" s="211"/>
      <c r="AO165" s="211"/>
      <c r="AP165" s="211"/>
      <c r="AQ165" s="211"/>
      <c r="AR165" s="211"/>
      <c r="AS165" s="255"/>
      <c r="AT165" s="210"/>
      <c r="AU165" s="211"/>
      <c r="AV165" s="255"/>
      <c r="AW165" s="210"/>
      <c r="AX165" s="210"/>
      <c r="AY165" s="266"/>
      <c r="AZ165" s="266"/>
      <c r="BA165" s="266"/>
    </row>
    <row r="166" spans="1:54" x14ac:dyDescent="0.3">
      <c r="A166" s="222">
        <v>2024</v>
      </c>
      <c r="B166" s="222"/>
      <c r="C166" s="370" t="s">
        <v>361</v>
      </c>
      <c r="D166" s="194" t="s">
        <v>362</v>
      </c>
      <c r="E166" s="194" t="s">
        <v>57</v>
      </c>
      <c r="F166" s="370" t="s">
        <v>596</v>
      </c>
      <c r="G166" s="343">
        <v>150000</v>
      </c>
      <c r="H166" s="286" t="s">
        <v>42</v>
      </c>
      <c r="J166" s="341">
        <v>209</v>
      </c>
      <c r="K166" s="343"/>
      <c r="L166" s="341" t="s">
        <v>32</v>
      </c>
      <c r="M166" s="374" t="str">
        <f t="shared" si="17"/>
        <v/>
      </c>
      <c r="N166" s="211"/>
      <c r="O166" s="211"/>
      <c r="P166" s="211"/>
      <c r="Q166" s="255"/>
      <c r="R166" s="255"/>
      <c r="S166" s="370" t="s">
        <v>363</v>
      </c>
      <c r="T166" s="370"/>
      <c r="U166" s="211"/>
      <c r="V166" s="211"/>
      <c r="W166" s="211"/>
      <c r="X166" s="211"/>
      <c r="Y166" s="211"/>
      <c r="Z166" s="211"/>
      <c r="AA166" s="255"/>
      <c r="AB166" s="211"/>
      <c r="AC166" s="255"/>
      <c r="AD166" s="210"/>
      <c r="AE166" s="211"/>
      <c r="AF166" s="211"/>
      <c r="AG166" s="211"/>
      <c r="AH166" s="211"/>
      <c r="AI166" s="211"/>
      <c r="AJ166" s="211"/>
      <c r="AK166" s="211"/>
      <c r="AL166" s="211"/>
      <c r="AM166" s="211"/>
      <c r="AN166" s="211"/>
      <c r="AO166" s="211"/>
      <c r="AP166" s="211"/>
      <c r="AQ166" s="211"/>
      <c r="AR166" s="211"/>
      <c r="AS166" s="255"/>
      <c r="AT166" s="210"/>
      <c r="AU166" s="211"/>
      <c r="AV166" s="255"/>
      <c r="AW166" s="210"/>
      <c r="AX166" s="210"/>
      <c r="AY166" s="266"/>
      <c r="AZ166" s="266"/>
      <c r="BA166" s="266"/>
    </row>
    <row r="167" spans="1:54" x14ac:dyDescent="0.3">
      <c r="A167" s="222">
        <v>2024</v>
      </c>
      <c r="B167" s="222"/>
      <c r="C167" s="370" t="s">
        <v>364</v>
      </c>
      <c r="D167" s="194" t="s">
        <v>365</v>
      </c>
      <c r="E167" s="194" t="s">
        <v>31</v>
      </c>
      <c r="F167" s="370" t="s">
        <v>596</v>
      </c>
      <c r="G167" s="343" t="s">
        <v>42</v>
      </c>
      <c r="H167" s="286" t="s">
        <v>42</v>
      </c>
      <c r="I167" s="211" t="s">
        <v>503</v>
      </c>
      <c r="J167" s="341" t="s">
        <v>116</v>
      </c>
      <c r="K167" s="343"/>
      <c r="L167" s="341" t="s">
        <v>32</v>
      </c>
      <c r="M167" s="374" t="str">
        <f t="shared" si="17"/>
        <v/>
      </c>
      <c r="N167" s="211"/>
      <c r="O167" s="211"/>
      <c r="P167" s="211"/>
      <c r="Q167" s="255"/>
      <c r="R167" s="255"/>
      <c r="S167" s="370" t="s">
        <v>366</v>
      </c>
      <c r="T167" s="370"/>
      <c r="U167" s="211"/>
      <c r="V167" s="211"/>
      <c r="W167" s="211"/>
      <c r="X167" s="211"/>
      <c r="Y167" s="211"/>
      <c r="Z167" s="211"/>
      <c r="AA167" s="255"/>
      <c r="AB167" s="211"/>
      <c r="AC167" s="255"/>
      <c r="AD167" s="210"/>
      <c r="AE167" s="211"/>
      <c r="AF167" s="211"/>
      <c r="AG167" s="211"/>
      <c r="AH167" s="211"/>
      <c r="AI167" s="211"/>
      <c r="AJ167" s="211"/>
      <c r="AK167" s="211"/>
      <c r="AL167" s="211"/>
      <c r="AM167" s="211"/>
      <c r="AN167" s="211"/>
      <c r="AO167" s="211"/>
      <c r="AP167" s="211"/>
      <c r="AQ167" s="211"/>
      <c r="AR167" s="211"/>
      <c r="AS167" s="255"/>
      <c r="AT167" s="210"/>
      <c r="AU167" s="211"/>
      <c r="AV167" s="255"/>
      <c r="AW167" s="210"/>
      <c r="AX167" s="210"/>
      <c r="AY167" s="266"/>
      <c r="AZ167" s="266"/>
      <c r="BA167" s="266"/>
    </row>
    <row r="168" spans="1:54" x14ac:dyDescent="0.3">
      <c r="A168" s="222">
        <v>2024</v>
      </c>
      <c r="B168" s="222"/>
      <c r="C168" s="370" t="s">
        <v>367</v>
      </c>
      <c r="D168" s="194" t="s">
        <v>368</v>
      </c>
      <c r="E168" s="194" t="s">
        <v>31</v>
      </c>
      <c r="F168" s="370" t="s">
        <v>596</v>
      </c>
      <c r="G168" s="343">
        <v>7000000</v>
      </c>
      <c r="H168" s="286" t="s">
        <v>42</v>
      </c>
      <c r="I168" s="341" t="s">
        <v>531</v>
      </c>
      <c r="J168" s="341" t="s">
        <v>116</v>
      </c>
      <c r="K168" s="343"/>
      <c r="L168" s="341" t="s">
        <v>32</v>
      </c>
      <c r="M168" s="374" t="str">
        <f t="shared" si="17"/>
        <v/>
      </c>
      <c r="N168" s="211"/>
      <c r="O168" s="211"/>
      <c r="P168" s="211"/>
      <c r="Q168" s="255"/>
      <c r="R168" s="255"/>
      <c r="S168" s="370" t="s">
        <v>369</v>
      </c>
      <c r="T168" s="370"/>
      <c r="U168" s="211"/>
      <c r="V168" s="211"/>
      <c r="W168" s="211"/>
      <c r="X168" s="211"/>
      <c r="Y168" s="211"/>
      <c r="Z168" s="211"/>
      <c r="AA168" s="255"/>
      <c r="AB168" s="211"/>
      <c r="AC168" s="255"/>
      <c r="AD168" s="210"/>
      <c r="AE168" s="211"/>
      <c r="AF168" s="211"/>
      <c r="AG168" s="211"/>
      <c r="AH168" s="211"/>
      <c r="AI168" s="211"/>
      <c r="AJ168" s="211"/>
      <c r="AK168" s="211"/>
      <c r="AL168" s="211"/>
      <c r="AM168" s="211"/>
      <c r="AN168" s="211"/>
      <c r="AO168" s="211"/>
      <c r="AP168" s="211"/>
      <c r="AQ168" s="211"/>
      <c r="AR168" s="211"/>
      <c r="AS168" s="255"/>
      <c r="AT168" s="210"/>
      <c r="AU168" s="211"/>
      <c r="AV168" s="255"/>
      <c r="AW168" s="210"/>
      <c r="AX168" s="210"/>
      <c r="AY168" s="266"/>
      <c r="AZ168" s="266"/>
      <c r="BA168" s="266"/>
      <c r="BB168" s="266"/>
    </row>
    <row r="169" spans="1:54" x14ac:dyDescent="0.3">
      <c r="A169" s="222">
        <v>2024</v>
      </c>
      <c r="B169" s="222"/>
      <c r="C169" s="370" t="s">
        <v>370</v>
      </c>
      <c r="D169" s="194" t="s">
        <v>371</v>
      </c>
      <c r="E169" s="194" t="s">
        <v>31</v>
      </c>
      <c r="F169" s="370" t="s">
        <v>596</v>
      </c>
      <c r="G169" s="343">
        <v>7500000</v>
      </c>
      <c r="H169" s="286" t="s">
        <v>42</v>
      </c>
      <c r="I169" s="211" t="s">
        <v>503</v>
      </c>
      <c r="J169" s="341">
        <v>237</v>
      </c>
      <c r="K169" s="343"/>
      <c r="L169" s="341" t="s">
        <v>32</v>
      </c>
      <c r="M169" s="374" t="str">
        <f t="shared" si="17"/>
        <v/>
      </c>
      <c r="N169" s="211"/>
      <c r="O169" s="211"/>
      <c r="P169" s="211"/>
      <c r="Q169" s="255"/>
      <c r="R169" s="255"/>
      <c r="S169" s="370" t="s">
        <v>372</v>
      </c>
      <c r="T169" s="370"/>
      <c r="U169" s="211"/>
      <c r="V169" s="211"/>
      <c r="W169" s="211"/>
      <c r="X169" s="211"/>
      <c r="Y169" s="211"/>
      <c r="Z169" s="211"/>
      <c r="AA169" s="255"/>
      <c r="AB169" s="211"/>
      <c r="AC169" s="255"/>
      <c r="AD169" s="210"/>
      <c r="AE169" s="211"/>
      <c r="AF169" s="211"/>
      <c r="AG169" s="211"/>
      <c r="AH169" s="211"/>
      <c r="AI169" s="211"/>
      <c r="AJ169" s="211"/>
      <c r="AK169" s="211"/>
      <c r="AL169" s="211"/>
      <c r="AM169" s="211"/>
      <c r="AN169" s="211"/>
      <c r="AO169" s="211"/>
      <c r="AP169" s="211"/>
      <c r="AQ169" s="211"/>
      <c r="AR169" s="211"/>
      <c r="AS169" s="255"/>
      <c r="AT169" s="210"/>
      <c r="AU169" s="211"/>
      <c r="AV169" s="255"/>
      <c r="AW169" s="210"/>
      <c r="AX169" s="210"/>
      <c r="AY169" s="266"/>
      <c r="AZ169" s="266"/>
      <c r="BA169" s="266"/>
    </row>
    <row r="170" spans="1:54" x14ac:dyDescent="0.3">
      <c r="A170" s="222">
        <v>2024</v>
      </c>
      <c r="B170" s="222"/>
      <c r="C170" s="370" t="s">
        <v>376</v>
      </c>
      <c r="D170" s="194" t="s">
        <v>82</v>
      </c>
      <c r="E170" s="194" t="s">
        <v>31</v>
      </c>
      <c r="F170" s="370" t="s">
        <v>596</v>
      </c>
      <c r="G170" s="343">
        <v>6200000</v>
      </c>
      <c r="H170" s="286" t="s">
        <v>42</v>
      </c>
      <c r="I170" s="211" t="s">
        <v>503</v>
      </c>
      <c r="J170" s="341">
        <v>155</v>
      </c>
      <c r="K170" s="343"/>
      <c r="L170" s="341" t="s">
        <v>32</v>
      </c>
      <c r="M170" s="374" t="str">
        <f t="shared" si="17"/>
        <v/>
      </c>
      <c r="N170" s="211"/>
      <c r="O170" s="211"/>
      <c r="P170" s="211"/>
      <c r="Q170" s="255"/>
      <c r="R170" s="255"/>
      <c r="S170" s="370" t="s">
        <v>377</v>
      </c>
      <c r="T170" s="370"/>
      <c r="U170" s="211"/>
      <c r="V170" s="211"/>
      <c r="W170" s="211"/>
      <c r="X170" s="211"/>
      <c r="Y170" s="211"/>
      <c r="Z170" s="211"/>
      <c r="AA170" s="255"/>
      <c r="AB170" s="211"/>
      <c r="AC170" s="255"/>
      <c r="AD170" s="210"/>
      <c r="AE170" s="211"/>
      <c r="AF170" s="211"/>
      <c r="AG170" s="211"/>
      <c r="AH170" s="211"/>
      <c r="AI170" s="211"/>
      <c r="AJ170" s="211"/>
      <c r="AK170" s="211"/>
      <c r="AL170" s="211"/>
      <c r="AM170" s="211"/>
      <c r="AN170" s="211"/>
      <c r="AO170" s="211"/>
      <c r="AP170" s="211"/>
      <c r="AQ170" s="211"/>
      <c r="AR170" s="211"/>
      <c r="AS170" s="255"/>
      <c r="AT170" s="210"/>
      <c r="AU170" s="211"/>
      <c r="AV170" s="255"/>
      <c r="AW170" s="210"/>
      <c r="AX170" s="210"/>
      <c r="AY170" s="266"/>
      <c r="AZ170" s="266"/>
      <c r="BA170" s="266"/>
    </row>
    <row r="171" spans="1:54" x14ac:dyDescent="0.3">
      <c r="A171" s="222">
        <v>2024</v>
      </c>
      <c r="B171" s="222" t="s">
        <v>35</v>
      </c>
      <c r="C171" s="370" t="s">
        <v>381</v>
      </c>
      <c r="D171" s="194" t="s">
        <v>382</v>
      </c>
      <c r="E171" s="194" t="s">
        <v>122</v>
      </c>
      <c r="F171" s="370" t="s">
        <v>596</v>
      </c>
      <c r="G171" s="343">
        <v>17500000</v>
      </c>
      <c r="H171" s="286" t="s">
        <v>42</v>
      </c>
      <c r="I171" s="211" t="s">
        <v>503</v>
      </c>
      <c r="J171" s="341">
        <v>496</v>
      </c>
      <c r="K171" s="343"/>
      <c r="L171" s="341" t="s">
        <v>32</v>
      </c>
      <c r="M171" s="374" t="str">
        <f t="shared" ref="M171:M181" si="18">IFERROR(IF(AND(K171&lt;&gt;"Market",L171&lt;&gt;"TBD"),L171/K171,""),"")</f>
        <v/>
      </c>
      <c r="N171" s="211"/>
      <c r="O171" s="211"/>
      <c r="P171" s="211"/>
      <c r="Q171" s="255"/>
      <c r="R171" s="255"/>
      <c r="S171" s="370" t="s">
        <v>383</v>
      </c>
      <c r="T171" s="370"/>
      <c r="U171" s="211"/>
      <c r="V171" s="211"/>
      <c r="W171" s="211"/>
      <c r="X171" s="211"/>
      <c r="Y171" s="211"/>
      <c r="Z171" s="211"/>
      <c r="AA171" s="255"/>
      <c r="AB171" s="211"/>
      <c r="AC171" s="255"/>
      <c r="AD171" s="210"/>
      <c r="AE171" s="211"/>
      <c r="AF171" s="211"/>
      <c r="AG171" s="211"/>
      <c r="AH171" s="211"/>
      <c r="AI171" s="211"/>
      <c r="AJ171" s="211"/>
      <c r="AK171" s="211"/>
      <c r="AL171" s="211"/>
      <c r="AM171" s="211"/>
      <c r="AN171" s="211"/>
      <c r="AO171" s="211"/>
      <c r="AP171" s="211"/>
      <c r="AQ171" s="211"/>
      <c r="AR171" s="211"/>
      <c r="AS171" s="255"/>
      <c r="AT171" s="210"/>
      <c r="AU171" s="211"/>
      <c r="AV171" s="255"/>
      <c r="AW171" s="210"/>
      <c r="AX171" s="210"/>
      <c r="AY171" s="266"/>
      <c r="AZ171" s="266"/>
      <c r="BA171" s="266"/>
    </row>
    <row r="172" spans="1:54" x14ac:dyDescent="0.3">
      <c r="A172" s="222">
        <v>2024</v>
      </c>
      <c r="B172" s="222"/>
      <c r="C172" s="370" t="s">
        <v>384</v>
      </c>
      <c r="D172" s="194" t="s">
        <v>385</v>
      </c>
      <c r="E172" s="194" t="s">
        <v>75</v>
      </c>
      <c r="F172" s="370" t="s">
        <v>596</v>
      </c>
      <c r="G172" s="343">
        <v>5000000</v>
      </c>
      <c r="H172" s="286" t="s">
        <v>42</v>
      </c>
      <c r="I172" s="211" t="s">
        <v>503</v>
      </c>
      <c r="J172" s="341">
        <v>60</v>
      </c>
      <c r="K172" s="343"/>
      <c r="L172" s="341" t="s">
        <v>32</v>
      </c>
      <c r="M172" s="374" t="str">
        <f t="shared" si="18"/>
        <v/>
      </c>
      <c r="N172" s="211"/>
      <c r="O172" s="211"/>
      <c r="P172" s="211"/>
      <c r="Q172" s="255"/>
      <c r="R172" s="255"/>
      <c r="S172" s="370" t="s">
        <v>386</v>
      </c>
      <c r="T172" s="370"/>
      <c r="U172" s="211"/>
      <c r="V172" s="211"/>
      <c r="W172" s="211"/>
      <c r="X172" s="211"/>
      <c r="Y172" s="211"/>
      <c r="Z172" s="211"/>
      <c r="AA172" s="255"/>
      <c r="AB172" s="211"/>
      <c r="AC172" s="255"/>
      <c r="AD172" s="210"/>
      <c r="AE172" s="211"/>
      <c r="AF172" s="211"/>
      <c r="AG172" s="211"/>
      <c r="AH172" s="211"/>
      <c r="AI172" s="211"/>
      <c r="AJ172" s="211"/>
      <c r="AK172" s="211"/>
      <c r="AL172" s="211"/>
      <c r="AM172" s="211"/>
      <c r="AN172" s="211"/>
      <c r="AO172" s="211"/>
      <c r="AP172" s="211"/>
      <c r="AQ172" s="211"/>
      <c r="AR172" s="211"/>
      <c r="AS172" s="255"/>
      <c r="AT172" s="210"/>
      <c r="AU172" s="211"/>
      <c r="AV172" s="255"/>
      <c r="AW172" s="210"/>
      <c r="AX172" s="210"/>
      <c r="AY172" s="266"/>
      <c r="AZ172" s="266"/>
      <c r="BA172" s="266"/>
    </row>
    <row r="173" spans="1:54" x14ac:dyDescent="0.3">
      <c r="A173" s="222">
        <v>2024</v>
      </c>
      <c r="B173" s="222" t="s">
        <v>35</v>
      </c>
      <c r="C173" s="370" t="s">
        <v>387</v>
      </c>
      <c r="D173" s="194" t="s">
        <v>388</v>
      </c>
      <c r="E173" s="194" t="s">
        <v>31</v>
      </c>
      <c r="F173" s="370" t="s">
        <v>596</v>
      </c>
      <c r="G173" s="343">
        <v>10000000</v>
      </c>
      <c r="H173" s="286" t="s">
        <v>42</v>
      </c>
      <c r="I173" s="211" t="s">
        <v>503</v>
      </c>
      <c r="J173" s="341">
        <v>380</v>
      </c>
      <c r="K173" s="343"/>
      <c r="L173" s="341" t="s">
        <v>32</v>
      </c>
      <c r="M173" s="374" t="str">
        <f t="shared" si="18"/>
        <v/>
      </c>
      <c r="N173" s="211"/>
      <c r="O173" s="211"/>
      <c r="P173" s="211"/>
      <c r="Q173" s="255"/>
      <c r="R173" s="255"/>
      <c r="S173" s="370" t="s">
        <v>389</v>
      </c>
      <c r="T173" s="370"/>
      <c r="U173" s="211"/>
      <c r="V173" s="211"/>
      <c r="W173" s="211"/>
      <c r="X173" s="211"/>
      <c r="Y173" s="211"/>
      <c r="Z173" s="211"/>
      <c r="AA173" s="255"/>
      <c r="AB173" s="211"/>
      <c r="AC173" s="255"/>
      <c r="AD173" s="210"/>
      <c r="AE173" s="211"/>
      <c r="AF173" s="211"/>
      <c r="AG173" s="211"/>
      <c r="AH173" s="211"/>
      <c r="AI173" s="211"/>
      <c r="AJ173" s="211"/>
      <c r="AK173" s="211"/>
      <c r="AL173" s="211"/>
      <c r="AM173" s="211"/>
      <c r="AN173" s="211"/>
      <c r="AO173" s="211"/>
      <c r="AP173" s="211"/>
      <c r="AQ173" s="211"/>
      <c r="AR173" s="211"/>
      <c r="AS173" s="255"/>
      <c r="AT173" s="210"/>
      <c r="AU173" s="211"/>
      <c r="AV173" s="255"/>
      <c r="AW173" s="210"/>
      <c r="AX173" s="210"/>
      <c r="AY173" s="266"/>
      <c r="AZ173" s="266"/>
      <c r="BA173" s="266"/>
    </row>
    <row r="174" spans="1:54" x14ac:dyDescent="0.3">
      <c r="A174" s="222">
        <v>2024</v>
      </c>
      <c r="B174" s="222"/>
      <c r="C174" s="370" t="s">
        <v>390</v>
      </c>
      <c r="D174" s="194" t="s">
        <v>251</v>
      </c>
      <c r="E174" s="194" t="s">
        <v>252</v>
      </c>
      <c r="F174" s="370" t="s">
        <v>596</v>
      </c>
      <c r="G174" s="343">
        <v>17000000</v>
      </c>
      <c r="H174" s="286" t="s">
        <v>42</v>
      </c>
      <c r="I174" s="211" t="s">
        <v>503</v>
      </c>
      <c r="J174" s="341">
        <v>200</v>
      </c>
      <c r="K174" s="343"/>
      <c r="L174" s="341" t="s">
        <v>48</v>
      </c>
      <c r="M174" s="374" t="str">
        <f t="shared" si="18"/>
        <v/>
      </c>
      <c r="N174" s="211"/>
      <c r="O174" s="211"/>
      <c r="P174" s="211"/>
      <c r="Q174" s="255"/>
      <c r="R174" s="255"/>
      <c r="S174" s="370" t="s">
        <v>391</v>
      </c>
      <c r="T174" s="370"/>
      <c r="U174" s="211"/>
      <c r="V174" s="211"/>
      <c r="W174" s="211"/>
      <c r="X174" s="211"/>
      <c r="Y174" s="211"/>
      <c r="Z174" s="211"/>
      <c r="AA174" s="255"/>
      <c r="AB174" s="211"/>
      <c r="AC174" s="255"/>
      <c r="AD174" s="210"/>
      <c r="AE174" s="211"/>
      <c r="AF174" s="211"/>
      <c r="AG174" s="211"/>
      <c r="AH174" s="211"/>
      <c r="AI174" s="211"/>
      <c r="AJ174" s="211"/>
      <c r="AK174" s="211"/>
      <c r="AL174" s="211"/>
      <c r="AM174" s="211"/>
      <c r="AN174" s="211"/>
      <c r="AO174" s="211"/>
      <c r="AP174" s="211"/>
      <c r="AQ174" s="211"/>
      <c r="AR174" s="211"/>
      <c r="AS174" s="255"/>
      <c r="AT174" s="210"/>
      <c r="AU174" s="211"/>
      <c r="AV174" s="255"/>
      <c r="AW174" s="210"/>
      <c r="AX174" s="210"/>
      <c r="AY174" s="266"/>
      <c r="AZ174" s="266"/>
      <c r="BA174" s="266"/>
    </row>
    <row r="175" spans="1:54" x14ac:dyDescent="0.3">
      <c r="A175" s="222">
        <v>2024</v>
      </c>
      <c r="B175" s="222"/>
      <c r="C175" s="370" t="s">
        <v>392</v>
      </c>
      <c r="D175" s="194" t="s">
        <v>393</v>
      </c>
      <c r="E175" s="194" t="s">
        <v>57</v>
      </c>
      <c r="F175" s="370" t="s">
        <v>596</v>
      </c>
      <c r="G175" s="343" t="s">
        <v>42</v>
      </c>
      <c r="H175" s="286" t="s">
        <v>42</v>
      </c>
      <c r="J175" s="341" t="s">
        <v>42</v>
      </c>
      <c r="K175" s="343"/>
      <c r="L175" s="341" t="s">
        <v>48</v>
      </c>
      <c r="M175" s="374" t="str">
        <f t="shared" si="18"/>
        <v/>
      </c>
      <c r="N175" s="211"/>
      <c r="O175" s="211"/>
      <c r="P175" s="211"/>
      <c r="Q175" s="255"/>
      <c r="R175" s="255"/>
      <c r="S175" s="370" t="s">
        <v>394</v>
      </c>
      <c r="T175" s="370"/>
      <c r="U175" s="211"/>
      <c r="V175" s="211"/>
      <c r="W175" s="211"/>
      <c r="X175" s="211"/>
      <c r="Y175" s="211"/>
      <c r="Z175" s="211"/>
      <c r="AA175" s="255"/>
      <c r="AB175" s="211"/>
      <c r="AC175" s="255"/>
      <c r="AD175" s="210"/>
      <c r="AE175" s="211"/>
      <c r="AF175" s="211"/>
      <c r="AG175" s="211"/>
      <c r="AH175" s="211"/>
      <c r="AI175" s="211"/>
      <c r="AJ175" s="211"/>
      <c r="AK175" s="211"/>
      <c r="AL175" s="211"/>
      <c r="AM175" s="211"/>
      <c r="AN175" s="211"/>
      <c r="AO175" s="211"/>
      <c r="AP175" s="211"/>
      <c r="AQ175" s="211"/>
      <c r="AR175" s="211"/>
      <c r="AS175" s="255"/>
      <c r="AT175" s="210"/>
      <c r="AU175" s="211"/>
      <c r="AV175" s="255"/>
      <c r="AW175" s="210"/>
      <c r="AX175" s="210"/>
      <c r="AY175" s="266"/>
      <c r="AZ175" s="266"/>
      <c r="BA175" s="266"/>
    </row>
    <row r="176" spans="1:54" x14ac:dyDescent="0.3">
      <c r="A176" s="222">
        <v>2024</v>
      </c>
      <c r="B176" s="222" t="s">
        <v>35</v>
      </c>
      <c r="C176" s="370" t="s">
        <v>395</v>
      </c>
      <c r="D176" s="194" t="s">
        <v>396</v>
      </c>
      <c r="E176" s="194" t="s">
        <v>115</v>
      </c>
      <c r="F176" s="370" t="s">
        <v>596</v>
      </c>
      <c r="G176" s="343">
        <v>12000000</v>
      </c>
      <c r="H176" s="286" t="s">
        <v>42</v>
      </c>
      <c r="I176" s="211" t="s">
        <v>503</v>
      </c>
      <c r="J176" s="341">
        <v>185</v>
      </c>
      <c r="K176" s="343"/>
      <c r="L176" s="341" t="s">
        <v>32</v>
      </c>
      <c r="M176" s="374" t="str">
        <f t="shared" si="18"/>
        <v/>
      </c>
      <c r="N176" s="211"/>
      <c r="O176" s="211"/>
      <c r="P176" s="211"/>
      <c r="Q176" s="255"/>
      <c r="R176" s="255"/>
      <c r="S176" s="370" t="s">
        <v>397</v>
      </c>
      <c r="T176" s="370"/>
      <c r="U176" s="211"/>
      <c r="V176" s="211"/>
      <c r="W176" s="211"/>
      <c r="X176" s="211"/>
      <c r="Y176" s="211"/>
      <c r="Z176" s="211"/>
      <c r="AA176" s="255"/>
      <c r="AB176" s="211"/>
      <c r="AC176" s="255"/>
      <c r="AD176" s="210"/>
      <c r="AE176" s="211"/>
      <c r="AF176" s="211"/>
      <c r="AG176" s="211"/>
      <c r="AH176" s="211"/>
      <c r="AI176" s="211"/>
      <c r="AJ176" s="211"/>
      <c r="AK176" s="211"/>
      <c r="AL176" s="211"/>
      <c r="AM176" s="211"/>
      <c r="AN176" s="211"/>
      <c r="AO176" s="211"/>
      <c r="AP176" s="211"/>
      <c r="AQ176" s="211"/>
      <c r="AR176" s="211"/>
      <c r="AS176" s="255"/>
      <c r="AT176" s="210"/>
      <c r="AU176" s="211"/>
      <c r="AV176" s="255"/>
      <c r="AW176" s="210"/>
      <c r="AX176" s="210"/>
      <c r="AY176" s="266"/>
      <c r="AZ176" s="266"/>
      <c r="BA176" s="266"/>
    </row>
    <row r="177" spans="1:54" x14ac:dyDescent="0.3">
      <c r="A177" s="222">
        <v>2024</v>
      </c>
      <c r="B177" s="222"/>
      <c r="C177" s="370" t="s">
        <v>398</v>
      </c>
      <c r="D177" s="194" t="s">
        <v>30</v>
      </c>
      <c r="E177" s="194" t="s">
        <v>31</v>
      </c>
      <c r="F177" s="370" t="s">
        <v>596</v>
      </c>
      <c r="G177" s="343" t="s">
        <v>42</v>
      </c>
      <c r="H177" s="286" t="s">
        <v>42</v>
      </c>
      <c r="I177" s="211" t="s">
        <v>503</v>
      </c>
      <c r="J177" s="341">
        <v>170</v>
      </c>
      <c r="K177" s="343"/>
      <c r="L177" s="341" t="s">
        <v>48</v>
      </c>
      <c r="M177" s="374" t="str">
        <f t="shared" si="18"/>
        <v/>
      </c>
      <c r="N177" s="211"/>
      <c r="O177" s="211"/>
      <c r="P177" s="211"/>
      <c r="Q177" s="255"/>
      <c r="R177" s="255"/>
      <c r="S177" s="370" t="s">
        <v>399</v>
      </c>
      <c r="T177" s="370"/>
      <c r="U177" s="211"/>
      <c r="V177" s="211"/>
      <c r="W177" s="211"/>
      <c r="X177" s="211"/>
      <c r="Y177" s="211"/>
      <c r="Z177" s="211"/>
      <c r="AA177" s="255"/>
      <c r="AB177" s="211"/>
      <c r="AC177" s="255"/>
      <c r="AD177" s="210"/>
      <c r="AE177" s="211"/>
      <c r="AF177" s="211"/>
      <c r="AG177" s="211"/>
      <c r="AH177" s="211"/>
      <c r="AI177" s="211"/>
      <c r="AJ177" s="211"/>
      <c r="AK177" s="211"/>
      <c r="AL177" s="211"/>
      <c r="AM177" s="211"/>
      <c r="AN177" s="211"/>
      <c r="AO177" s="211"/>
      <c r="AP177" s="211"/>
      <c r="AQ177" s="211"/>
      <c r="AR177" s="211"/>
      <c r="AS177" s="255"/>
      <c r="AT177" s="210"/>
      <c r="AU177" s="211"/>
      <c r="AV177" s="255"/>
      <c r="AW177" s="210"/>
      <c r="AX177" s="210"/>
      <c r="AY177" s="266"/>
      <c r="AZ177" s="266"/>
      <c r="BA177" s="266"/>
    </row>
    <row r="178" spans="1:54" x14ac:dyDescent="0.3">
      <c r="A178" s="222">
        <v>2024</v>
      </c>
      <c r="B178" s="222"/>
      <c r="C178" s="370" t="s">
        <v>400</v>
      </c>
      <c r="D178" s="194" t="s">
        <v>401</v>
      </c>
      <c r="E178" s="194" t="s">
        <v>299</v>
      </c>
      <c r="F178" s="370" t="s">
        <v>596</v>
      </c>
      <c r="G178" s="343">
        <v>4200000</v>
      </c>
      <c r="H178" s="286" t="s">
        <v>42</v>
      </c>
      <c r="I178" s="211" t="s">
        <v>503</v>
      </c>
      <c r="J178" s="341">
        <v>124</v>
      </c>
      <c r="K178" s="343"/>
      <c r="L178" s="341" t="s">
        <v>32</v>
      </c>
      <c r="M178" s="374" t="str">
        <f t="shared" si="18"/>
        <v/>
      </c>
      <c r="N178" s="211"/>
      <c r="O178" s="211"/>
      <c r="P178" s="211"/>
      <c r="Q178" s="255"/>
      <c r="R178" s="255"/>
      <c r="S178" s="370" t="s">
        <v>402</v>
      </c>
      <c r="T178" s="370"/>
      <c r="U178" s="211"/>
      <c r="V178" s="211"/>
      <c r="W178" s="211"/>
      <c r="X178" s="211"/>
      <c r="Y178" s="211"/>
      <c r="Z178" s="211"/>
      <c r="AA178" s="255"/>
      <c r="AB178" s="211"/>
      <c r="AC178" s="255"/>
      <c r="AD178" s="210"/>
      <c r="AE178" s="211"/>
      <c r="AF178" s="211"/>
      <c r="AG178" s="211"/>
      <c r="AH178" s="211"/>
      <c r="AI178" s="211"/>
      <c r="AJ178" s="211"/>
      <c r="AK178" s="211"/>
      <c r="AL178" s="211"/>
      <c r="AM178" s="211"/>
      <c r="AN178" s="211"/>
      <c r="AO178" s="211"/>
      <c r="AP178" s="211"/>
      <c r="AQ178" s="211"/>
      <c r="AR178" s="211"/>
      <c r="AS178" s="255"/>
      <c r="AT178" s="210"/>
      <c r="AU178" s="211"/>
      <c r="AV178" s="255"/>
      <c r="AW178" s="210"/>
      <c r="AX178" s="210"/>
      <c r="AY178" s="266"/>
      <c r="AZ178" s="266"/>
      <c r="BA178" s="266"/>
    </row>
    <row r="179" spans="1:54" x14ac:dyDescent="0.3">
      <c r="A179" s="222">
        <v>2024</v>
      </c>
      <c r="B179" s="222" t="s">
        <v>35</v>
      </c>
      <c r="C179" s="370" t="s">
        <v>403</v>
      </c>
      <c r="D179" s="194" t="s">
        <v>404</v>
      </c>
      <c r="E179" s="194" t="s">
        <v>122</v>
      </c>
      <c r="F179" s="370" t="s">
        <v>596</v>
      </c>
      <c r="G179" s="343">
        <v>25000000</v>
      </c>
      <c r="H179" s="286" t="s">
        <v>42</v>
      </c>
      <c r="I179" s="211" t="s">
        <v>503</v>
      </c>
      <c r="J179" s="341">
        <v>550</v>
      </c>
      <c r="K179" s="343"/>
      <c r="L179" s="341" t="s">
        <v>48</v>
      </c>
      <c r="M179" s="374" t="str">
        <f t="shared" si="18"/>
        <v/>
      </c>
      <c r="N179" s="211"/>
      <c r="O179" s="211"/>
      <c r="P179" s="211"/>
      <c r="Q179" s="255"/>
      <c r="R179" s="255"/>
      <c r="S179" s="370" t="s">
        <v>405</v>
      </c>
      <c r="T179" s="370"/>
      <c r="U179" s="211"/>
      <c r="V179" s="211"/>
      <c r="W179" s="211"/>
      <c r="X179" s="211"/>
      <c r="Y179" s="211"/>
      <c r="Z179" s="211"/>
      <c r="AA179" s="255"/>
      <c r="AB179" s="211"/>
      <c r="AC179" s="255"/>
      <c r="AD179" s="210"/>
      <c r="AE179" s="211"/>
      <c r="AF179" s="211"/>
      <c r="AG179" s="211"/>
      <c r="AH179" s="211"/>
      <c r="AI179" s="211"/>
      <c r="AJ179" s="211"/>
      <c r="AK179" s="211"/>
      <c r="AL179" s="211"/>
      <c r="AM179" s="211"/>
      <c r="AN179" s="211"/>
      <c r="AO179" s="211"/>
      <c r="AP179" s="211"/>
      <c r="AQ179" s="211"/>
      <c r="AR179" s="211"/>
      <c r="AS179" s="255"/>
      <c r="AT179" s="210"/>
      <c r="AU179" s="211"/>
      <c r="AV179" s="255"/>
      <c r="AW179" s="210"/>
      <c r="AX179" s="210"/>
      <c r="AY179" s="266"/>
      <c r="AZ179" s="266"/>
      <c r="BA179" s="266"/>
    </row>
    <row r="180" spans="1:54" x14ac:dyDescent="0.3">
      <c r="A180" s="222">
        <v>2024</v>
      </c>
      <c r="B180" s="222"/>
      <c r="C180" s="370" t="s">
        <v>406</v>
      </c>
      <c r="D180" s="194" t="s">
        <v>393</v>
      </c>
      <c r="E180" s="194" t="s">
        <v>57</v>
      </c>
      <c r="F180" s="370" t="s">
        <v>596</v>
      </c>
      <c r="G180" s="343" t="s">
        <v>42</v>
      </c>
      <c r="H180" s="286" t="s">
        <v>42</v>
      </c>
      <c r="I180" s="211" t="s">
        <v>503</v>
      </c>
      <c r="J180" s="341">
        <v>393</v>
      </c>
      <c r="K180" s="343"/>
      <c r="L180" s="341" t="s">
        <v>48</v>
      </c>
      <c r="M180" s="374" t="str">
        <f t="shared" si="18"/>
        <v/>
      </c>
      <c r="N180" s="211"/>
      <c r="O180" s="211"/>
      <c r="P180" s="211"/>
      <c r="Q180" s="255"/>
      <c r="R180" s="255"/>
      <c r="S180" s="370" t="s">
        <v>407</v>
      </c>
      <c r="T180" s="370"/>
      <c r="U180" s="211"/>
      <c r="V180" s="211"/>
      <c r="W180" s="211"/>
      <c r="X180" s="211"/>
      <c r="Y180" s="211"/>
      <c r="Z180" s="211"/>
      <c r="AA180" s="255"/>
      <c r="AB180" s="211"/>
      <c r="AC180" s="255"/>
      <c r="AD180" s="210"/>
      <c r="AE180" s="211"/>
      <c r="AF180" s="211"/>
      <c r="AG180" s="211"/>
      <c r="AH180" s="211"/>
      <c r="AI180" s="211"/>
      <c r="AJ180" s="211"/>
      <c r="AK180" s="211"/>
      <c r="AL180" s="211"/>
      <c r="AM180" s="211"/>
      <c r="AN180" s="211"/>
      <c r="AO180" s="211"/>
      <c r="AP180" s="211"/>
      <c r="AQ180" s="211"/>
      <c r="AR180" s="211"/>
      <c r="AS180" s="255"/>
      <c r="AT180" s="210"/>
      <c r="AU180" s="211"/>
      <c r="AV180" s="255"/>
      <c r="AW180" s="210"/>
      <c r="AX180" s="210"/>
      <c r="AY180" s="266"/>
      <c r="AZ180" s="266"/>
      <c r="BA180" s="266"/>
    </row>
    <row r="181" spans="1:54" x14ac:dyDescent="0.3">
      <c r="A181" s="222">
        <v>2024</v>
      </c>
      <c r="B181" s="222" t="s">
        <v>35</v>
      </c>
      <c r="C181" s="370" t="s">
        <v>408</v>
      </c>
      <c r="D181" s="194" t="s">
        <v>409</v>
      </c>
      <c r="E181" s="194" t="s">
        <v>410</v>
      </c>
      <c r="F181" s="370" t="s">
        <v>596</v>
      </c>
      <c r="G181" s="343" t="s">
        <v>42</v>
      </c>
      <c r="H181" s="286" t="s">
        <v>42</v>
      </c>
      <c r="I181" s="211" t="s">
        <v>503</v>
      </c>
      <c r="J181" s="341">
        <v>200</v>
      </c>
      <c r="K181" s="343"/>
      <c r="L181" s="341" t="s">
        <v>32</v>
      </c>
      <c r="M181" s="374" t="str">
        <f t="shared" si="18"/>
        <v/>
      </c>
      <c r="N181" s="211"/>
      <c r="O181" s="211"/>
      <c r="P181" s="211"/>
      <c r="Q181" s="255"/>
      <c r="R181" s="255"/>
      <c r="S181" s="370" t="s">
        <v>411</v>
      </c>
      <c r="T181" s="370"/>
      <c r="U181" s="211"/>
      <c r="V181" s="211"/>
      <c r="W181" s="211"/>
      <c r="X181" s="211"/>
      <c r="Y181" s="211"/>
      <c r="Z181" s="211"/>
      <c r="AA181" s="255"/>
      <c r="AB181" s="211"/>
      <c r="AC181" s="255"/>
      <c r="AD181" s="210"/>
      <c r="AE181" s="211"/>
      <c r="AF181" s="211"/>
      <c r="AG181" s="211"/>
      <c r="AH181" s="211"/>
      <c r="AI181" s="211"/>
      <c r="AJ181" s="211"/>
      <c r="AK181" s="211"/>
      <c r="AL181" s="211"/>
      <c r="AM181" s="211"/>
      <c r="AN181" s="211"/>
      <c r="AO181" s="211"/>
      <c r="AP181" s="211"/>
      <c r="AQ181" s="211"/>
      <c r="AR181" s="211"/>
      <c r="AS181" s="255"/>
      <c r="AT181" s="210"/>
      <c r="AU181" s="211"/>
      <c r="AV181" s="255"/>
      <c r="AW181" s="210"/>
      <c r="AX181" s="210"/>
      <c r="AY181" s="266"/>
      <c r="AZ181" s="266"/>
      <c r="BA181" s="266"/>
    </row>
    <row r="182" spans="1:54" x14ac:dyDescent="0.3">
      <c r="A182" s="222">
        <v>2025</v>
      </c>
      <c r="B182" s="222"/>
      <c r="C182" s="370" t="s">
        <v>412</v>
      </c>
      <c r="D182" s="194" t="s">
        <v>413</v>
      </c>
      <c r="E182" s="194" t="s">
        <v>325</v>
      </c>
      <c r="F182" s="370" t="s">
        <v>596</v>
      </c>
      <c r="G182" s="343" t="s">
        <v>42</v>
      </c>
      <c r="H182" s="286" t="s">
        <v>42</v>
      </c>
      <c r="I182" s="258" t="s">
        <v>556</v>
      </c>
      <c r="J182" s="341">
        <f>145+118</f>
        <v>263</v>
      </c>
      <c r="K182" s="343"/>
      <c r="L182" s="341" t="s">
        <v>32</v>
      </c>
      <c r="M182" s="258" t="s">
        <v>100</v>
      </c>
      <c r="N182" s="211"/>
      <c r="O182" s="211"/>
      <c r="P182" s="211"/>
      <c r="Q182" s="255"/>
      <c r="R182" s="255"/>
      <c r="S182" s="370" t="s">
        <v>414</v>
      </c>
      <c r="T182" s="370"/>
      <c r="U182" s="211"/>
      <c r="V182" s="211"/>
      <c r="W182" s="211"/>
      <c r="X182" s="211"/>
      <c r="Y182" s="211"/>
      <c r="Z182" s="211"/>
      <c r="AA182" s="255"/>
      <c r="AB182" s="211"/>
      <c r="AC182" s="255"/>
      <c r="AD182" s="210"/>
      <c r="AE182" s="211"/>
      <c r="AF182" s="211"/>
      <c r="AG182" s="211"/>
      <c r="AH182" s="211"/>
      <c r="AI182" s="211"/>
      <c r="AJ182" s="211"/>
      <c r="AK182" s="211"/>
      <c r="AL182" s="211"/>
      <c r="AM182" s="211"/>
      <c r="AN182" s="211"/>
      <c r="AO182" s="211"/>
      <c r="AP182" s="211"/>
      <c r="AQ182" s="211"/>
      <c r="AR182" s="211"/>
      <c r="AS182" s="255"/>
      <c r="AT182" s="210"/>
      <c r="AU182" s="211"/>
      <c r="AV182" s="255"/>
      <c r="AW182" s="210"/>
      <c r="AX182" s="210"/>
      <c r="AY182" s="266"/>
      <c r="AZ182" s="266"/>
      <c r="BA182" s="266"/>
    </row>
    <row r="183" spans="1:54" x14ac:dyDescent="0.3">
      <c r="A183" s="222">
        <v>2024</v>
      </c>
      <c r="B183" s="222" t="s">
        <v>35</v>
      </c>
      <c r="C183" s="370" t="s">
        <v>415</v>
      </c>
      <c r="D183" s="373" t="s">
        <v>416</v>
      </c>
      <c r="E183" s="373" t="s">
        <v>252</v>
      </c>
      <c r="F183" s="370" t="s">
        <v>596</v>
      </c>
      <c r="G183" s="343" t="s">
        <v>42</v>
      </c>
      <c r="H183" s="286" t="s">
        <v>42</v>
      </c>
      <c r="I183" s="341" t="s">
        <v>531</v>
      </c>
      <c r="J183" s="341">
        <v>328</v>
      </c>
      <c r="K183" s="343"/>
      <c r="L183" s="341" t="s">
        <v>32</v>
      </c>
      <c r="M183" s="258" t="s">
        <v>100</v>
      </c>
      <c r="N183" s="211" t="s">
        <v>35</v>
      </c>
      <c r="O183" s="211"/>
      <c r="P183" s="211"/>
      <c r="Q183" s="255"/>
      <c r="R183" s="255"/>
      <c r="S183" s="370" t="s">
        <v>417</v>
      </c>
      <c r="T183" s="370"/>
      <c r="U183" s="211"/>
      <c r="V183" s="211"/>
      <c r="W183" s="211"/>
      <c r="X183" s="211"/>
      <c r="Y183" s="211"/>
      <c r="Z183" s="211"/>
      <c r="AA183" s="255"/>
      <c r="AB183" s="211"/>
      <c r="AC183" s="255"/>
      <c r="AD183" s="210"/>
      <c r="AE183" s="211"/>
      <c r="AF183" s="211"/>
      <c r="AG183" s="211"/>
      <c r="AH183" s="211"/>
      <c r="AI183" s="211"/>
      <c r="AJ183" s="211"/>
      <c r="AK183" s="211"/>
      <c r="AL183" s="211"/>
      <c r="AM183" s="211"/>
      <c r="AN183" s="211"/>
      <c r="AO183" s="211"/>
      <c r="AP183" s="211"/>
      <c r="AQ183" s="211"/>
      <c r="AR183" s="211"/>
      <c r="AS183" s="255"/>
      <c r="AT183" s="210"/>
      <c r="AU183" s="211"/>
      <c r="AV183" s="255"/>
      <c r="AW183" s="210"/>
      <c r="AX183" s="210"/>
      <c r="AY183" s="266"/>
      <c r="AZ183" s="266"/>
      <c r="BA183" s="266"/>
    </row>
    <row r="184" spans="1:54" x14ac:dyDescent="0.3">
      <c r="A184" s="222">
        <v>2024</v>
      </c>
      <c r="B184" s="222" t="s">
        <v>35</v>
      </c>
      <c r="C184" s="370" t="s">
        <v>418</v>
      </c>
      <c r="D184" s="282" t="s">
        <v>419</v>
      </c>
      <c r="E184" s="282" t="s">
        <v>420</v>
      </c>
      <c r="F184" s="370" t="s">
        <v>596</v>
      </c>
      <c r="G184" s="283">
        <v>20000000</v>
      </c>
      <c r="H184" s="286" t="s">
        <v>42</v>
      </c>
      <c r="I184" s="258" t="s">
        <v>556</v>
      </c>
      <c r="J184" s="285">
        <v>467</v>
      </c>
      <c r="K184" s="286">
        <v>1</v>
      </c>
      <c r="L184" s="258" t="s">
        <v>48</v>
      </c>
      <c r="M184" s="258" t="s">
        <v>100</v>
      </c>
      <c r="N184" s="211" t="s">
        <v>35</v>
      </c>
      <c r="O184" s="211"/>
      <c r="P184" s="211"/>
      <c r="Q184" s="255"/>
      <c r="R184" s="255"/>
      <c r="S184" s="370" t="s">
        <v>421</v>
      </c>
      <c r="T184" s="370"/>
      <c r="U184" s="211"/>
      <c r="V184" s="211"/>
      <c r="W184" s="211"/>
      <c r="X184" s="211"/>
      <c r="Y184" s="211"/>
      <c r="Z184" s="211"/>
      <c r="AA184" s="255"/>
      <c r="AB184" s="211"/>
      <c r="AC184" s="255"/>
      <c r="AD184" s="210"/>
      <c r="AE184" s="211"/>
      <c r="AF184" s="211"/>
      <c r="AG184" s="211"/>
      <c r="AH184" s="211"/>
      <c r="AI184" s="211"/>
      <c r="AJ184" s="211"/>
      <c r="AK184" s="211"/>
      <c r="AL184" s="211"/>
      <c r="AM184" s="211"/>
      <c r="AN184" s="211"/>
      <c r="AO184" s="211"/>
      <c r="AP184" s="211"/>
      <c r="AQ184" s="211"/>
      <c r="AR184" s="211"/>
      <c r="AS184" s="255"/>
      <c r="AT184" s="210"/>
      <c r="AU184" s="211"/>
      <c r="AV184" s="255"/>
      <c r="AW184" s="210"/>
      <c r="AX184" s="210"/>
      <c r="AY184" s="266"/>
      <c r="AZ184" s="266"/>
      <c r="BA184" s="266"/>
    </row>
    <row r="185" spans="1:54" x14ac:dyDescent="0.3">
      <c r="A185" s="222">
        <v>2024</v>
      </c>
      <c r="B185" s="222" t="s">
        <v>35</v>
      </c>
      <c r="C185" s="370" t="s">
        <v>422</v>
      </c>
      <c r="D185" s="373" t="s">
        <v>331</v>
      </c>
      <c r="E185" s="373" t="s">
        <v>31</v>
      </c>
      <c r="F185" s="370" t="s">
        <v>596</v>
      </c>
      <c r="G185" s="343" t="s">
        <v>42</v>
      </c>
      <c r="H185" s="286" t="s">
        <v>42</v>
      </c>
      <c r="I185" s="341" t="s">
        <v>531</v>
      </c>
      <c r="J185" s="341">
        <v>159</v>
      </c>
      <c r="K185" s="343"/>
      <c r="L185" s="341" t="s">
        <v>32</v>
      </c>
      <c r="M185" s="258" t="s">
        <v>100</v>
      </c>
      <c r="N185" s="211"/>
      <c r="O185" s="211"/>
      <c r="P185" s="211"/>
      <c r="Q185" s="255"/>
      <c r="R185" s="255"/>
      <c r="S185" s="370" t="s">
        <v>423</v>
      </c>
      <c r="T185" s="370"/>
      <c r="U185" s="211"/>
      <c r="V185" s="211"/>
      <c r="W185" s="211"/>
      <c r="X185" s="211"/>
      <c r="Y185" s="211"/>
      <c r="Z185" s="211"/>
      <c r="AA185" s="255"/>
      <c r="AB185" s="211"/>
      <c r="AC185" s="255"/>
      <c r="AD185" s="210"/>
      <c r="AE185" s="211"/>
      <c r="AF185" s="211"/>
      <c r="AG185" s="211"/>
      <c r="AH185" s="211"/>
      <c r="AI185" s="211"/>
      <c r="AJ185" s="211"/>
      <c r="AK185" s="211"/>
      <c r="AL185" s="211"/>
      <c r="AM185" s="211"/>
      <c r="AN185" s="211"/>
      <c r="AO185" s="211"/>
      <c r="AP185" s="211"/>
      <c r="AQ185" s="211"/>
      <c r="AR185" s="211"/>
      <c r="AS185" s="255"/>
      <c r="AT185" s="210"/>
      <c r="AU185" s="211"/>
      <c r="AV185" s="255"/>
      <c r="AW185" s="210"/>
      <c r="AX185" s="210"/>
      <c r="AY185" s="266"/>
      <c r="AZ185" s="266"/>
      <c r="BA185" s="266"/>
      <c r="BB185" s="266"/>
    </row>
    <row r="186" spans="1:54" x14ac:dyDescent="0.3">
      <c r="A186" s="222">
        <v>2025</v>
      </c>
      <c r="B186" s="222" t="s">
        <v>35</v>
      </c>
      <c r="C186" s="370" t="s">
        <v>424</v>
      </c>
      <c r="D186" s="373" t="s">
        <v>425</v>
      </c>
      <c r="E186" s="402" t="s">
        <v>426</v>
      </c>
      <c r="F186" s="370" t="s">
        <v>596</v>
      </c>
      <c r="G186" s="343" t="s">
        <v>42</v>
      </c>
      <c r="H186" s="286" t="s">
        <v>42</v>
      </c>
      <c r="I186" s="211" t="s">
        <v>503</v>
      </c>
      <c r="J186" s="341">
        <v>437</v>
      </c>
      <c r="K186" s="343"/>
      <c r="L186" s="343" t="s">
        <v>32</v>
      </c>
      <c r="M186" s="374" t="str">
        <f>IFERROR(IF(AND(AND(K186&lt;&gt;"Market",K186&lt;&gt;"TBD"),L186&lt;&gt;"TBD"),L186/K186,""),"")</f>
        <v/>
      </c>
      <c r="N186" s="211"/>
      <c r="O186" s="211"/>
      <c r="P186" s="211"/>
      <c r="Q186" s="255"/>
      <c r="R186" s="255"/>
      <c r="S186" s="370" t="s">
        <v>427</v>
      </c>
      <c r="T186" s="370"/>
      <c r="U186" s="211"/>
      <c r="V186" s="211"/>
      <c r="W186" s="211"/>
      <c r="X186" s="211"/>
      <c r="Y186" s="211"/>
      <c r="Z186" s="211"/>
      <c r="AA186" s="255"/>
      <c r="AB186" s="211"/>
      <c r="AC186" s="255"/>
      <c r="AD186" s="210"/>
      <c r="AE186" s="211"/>
      <c r="AF186" s="211"/>
      <c r="AG186" s="211"/>
      <c r="AH186" s="211"/>
      <c r="AI186" s="211"/>
      <c r="AJ186" s="211"/>
      <c r="AK186" s="211"/>
      <c r="AL186" s="211"/>
      <c r="AM186" s="211"/>
      <c r="AN186" s="211"/>
      <c r="AO186" s="211"/>
      <c r="AP186" s="211"/>
      <c r="AQ186" s="211"/>
      <c r="AR186" s="211"/>
      <c r="AS186" s="255"/>
      <c r="AT186" s="210"/>
      <c r="AU186" s="211"/>
      <c r="AV186" s="255"/>
      <c r="AW186" s="210"/>
      <c r="AX186" s="210"/>
      <c r="AY186" s="266"/>
      <c r="AZ186" s="266"/>
      <c r="BA186" s="266"/>
      <c r="BB186" s="266"/>
    </row>
    <row r="187" spans="1:54" x14ac:dyDescent="0.3">
      <c r="A187" s="222">
        <v>2025</v>
      </c>
      <c r="B187" s="222"/>
      <c r="C187" s="370" t="s">
        <v>428</v>
      </c>
      <c r="D187" s="373" t="s">
        <v>429</v>
      </c>
      <c r="E187" s="402" t="s">
        <v>130</v>
      </c>
      <c r="F187" s="370" t="s">
        <v>596</v>
      </c>
      <c r="G187" s="343">
        <v>6500000</v>
      </c>
      <c r="H187" s="286" t="s">
        <v>42</v>
      </c>
      <c r="I187" s="211" t="s">
        <v>503</v>
      </c>
      <c r="J187" s="341">
        <f>173+240</f>
        <v>413</v>
      </c>
      <c r="K187" s="343"/>
      <c r="L187" s="343" t="s">
        <v>48</v>
      </c>
      <c r="M187" s="374" t="str">
        <f>IFERROR(IF(AND(AND(K187&lt;&gt;"Market",K187&lt;&gt;"TBD"),L187&lt;&gt;"TBD"),L187/K187,""),"")</f>
        <v/>
      </c>
      <c r="N187" s="211" t="s">
        <v>35</v>
      </c>
      <c r="O187" s="211"/>
      <c r="P187" s="211"/>
      <c r="Q187" s="255"/>
      <c r="R187" s="255"/>
      <c r="S187" s="370" t="s">
        <v>430</v>
      </c>
      <c r="T187" s="370"/>
      <c r="U187" s="211"/>
      <c r="V187" s="211"/>
      <c r="W187" s="211"/>
      <c r="X187" s="211"/>
      <c r="Y187" s="211"/>
      <c r="Z187" s="211"/>
      <c r="AA187" s="255"/>
      <c r="AB187" s="211"/>
      <c r="AC187" s="255"/>
      <c r="AD187" s="210"/>
      <c r="AE187" s="211"/>
      <c r="AF187" s="211"/>
      <c r="AG187" s="211"/>
      <c r="AH187" s="211"/>
      <c r="AI187" s="211"/>
      <c r="AJ187" s="211"/>
      <c r="AK187" s="211"/>
      <c r="AL187" s="211"/>
      <c r="AM187" s="211"/>
      <c r="AN187" s="211"/>
      <c r="AO187" s="211"/>
      <c r="AP187" s="211"/>
      <c r="AQ187" s="211"/>
      <c r="AR187" s="211"/>
      <c r="AS187" s="255"/>
      <c r="AT187" s="210"/>
      <c r="AU187" s="211"/>
      <c r="AV187" s="255"/>
      <c r="AW187" s="210"/>
      <c r="AX187" s="210"/>
      <c r="AY187" s="266"/>
      <c r="AZ187" s="266"/>
      <c r="BA187" s="266"/>
    </row>
    <row r="188" spans="1:54" x14ac:dyDescent="0.3">
      <c r="A188" s="222">
        <v>2024</v>
      </c>
      <c r="B188" s="222" t="s">
        <v>35</v>
      </c>
      <c r="C188" s="370" t="s">
        <v>433</v>
      </c>
      <c r="D188" s="373" t="s">
        <v>153</v>
      </c>
      <c r="E188" s="373" t="s">
        <v>57</v>
      </c>
      <c r="F188" s="370" t="s">
        <v>596</v>
      </c>
      <c r="G188" s="343" t="s">
        <v>42</v>
      </c>
      <c r="H188" s="286" t="s">
        <v>42</v>
      </c>
      <c r="I188" s="341" t="s">
        <v>531</v>
      </c>
      <c r="J188" s="341">
        <v>620</v>
      </c>
      <c r="K188" s="343"/>
      <c r="L188" s="341" t="s">
        <v>48</v>
      </c>
      <c r="M188" s="374"/>
      <c r="N188" s="211" t="s">
        <v>35</v>
      </c>
      <c r="O188" s="211"/>
      <c r="P188" s="211"/>
      <c r="Q188" s="255"/>
      <c r="R188" s="255"/>
      <c r="S188" s="370" t="s">
        <v>434</v>
      </c>
      <c r="T188" s="370"/>
      <c r="U188" s="211"/>
      <c r="V188" s="211"/>
      <c r="W188" s="211"/>
      <c r="X188" s="211"/>
      <c r="Y188" s="211"/>
      <c r="Z188" s="211"/>
      <c r="AA188" s="255"/>
      <c r="AB188" s="211"/>
      <c r="AC188" s="255"/>
      <c r="AD188" s="210"/>
      <c r="AE188" s="211"/>
      <c r="AF188" s="211"/>
      <c r="AG188" s="211"/>
      <c r="AH188" s="211"/>
      <c r="AI188" s="211"/>
      <c r="AJ188" s="211"/>
      <c r="AK188" s="211"/>
      <c r="AL188" s="211"/>
      <c r="AM188" s="211"/>
      <c r="AN188" s="211"/>
      <c r="AO188" s="211"/>
      <c r="AP188" s="211"/>
      <c r="AQ188" s="211"/>
      <c r="AR188" s="211"/>
      <c r="AS188" s="255"/>
      <c r="AT188" s="210"/>
      <c r="AU188" s="211"/>
      <c r="AV188" s="255"/>
      <c r="AW188" s="210"/>
      <c r="AX188" s="210"/>
      <c r="AY188" s="266"/>
      <c r="AZ188" s="266"/>
      <c r="BA188" s="266"/>
      <c r="BB188" s="266"/>
    </row>
    <row r="189" spans="1:54" x14ac:dyDescent="0.3">
      <c r="A189" s="222">
        <v>2025</v>
      </c>
      <c r="B189" s="222"/>
      <c r="C189" s="370" t="s">
        <v>435</v>
      </c>
      <c r="D189" s="373" t="s">
        <v>436</v>
      </c>
      <c r="E189" s="402" t="s">
        <v>31</v>
      </c>
      <c r="F189" s="370" t="s">
        <v>596</v>
      </c>
      <c r="G189" s="343" t="s">
        <v>42</v>
      </c>
      <c r="H189" s="286" t="s">
        <v>42</v>
      </c>
      <c r="I189" s="341" t="s">
        <v>531</v>
      </c>
      <c r="K189" s="343"/>
      <c r="L189" s="343" t="s">
        <v>32</v>
      </c>
      <c r="M189" s="374"/>
      <c r="N189" s="211"/>
      <c r="O189" s="211"/>
      <c r="P189" s="211"/>
      <c r="Q189" s="255"/>
      <c r="R189" s="255"/>
      <c r="S189" s="370" t="s">
        <v>437</v>
      </c>
      <c r="T189" s="370"/>
      <c r="U189" s="211"/>
      <c r="V189" s="211"/>
      <c r="W189" s="211"/>
      <c r="X189" s="211"/>
      <c r="Y189" s="211"/>
      <c r="Z189" s="211"/>
      <c r="AA189" s="255"/>
      <c r="AB189" s="211"/>
      <c r="AC189" s="255"/>
      <c r="AD189" s="210"/>
      <c r="AE189" s="211"/>
      <c r="AF189" s="211"/>
      <c r="AG189" s="211"/>
      <c r="AH189" s="211"/>
      <c r="AI189" s="211"/>
      <c r="AJ189" s="211"/>
      <c r="AK189" s="211"/>
      <c r="AL189" s="211"/>
      <c r="AM189" s="211"/>
      <c r="AN189" s="211"/>
      <c r="AO189" s="211"/>
      <c r="AP189" s="211"/>
      <c r="AQ189" s="211"/>
      <c r="AR189" s="211"/>
      <c r="AS189" s="255"/>
      <c r="AT189" s="210"/>
      <c r="AU189" s="211"/>
      <c r="AV189" s="255"/>
      <c r="AW189" s="210"/>
      <c r="AX189" s="210"/>
      <c r="AY189" s="266"/>
      <c r="AZ189" s="266"/>
      <c r="BA189" s="266"/>
      <c r="BB189" s="266"/>
    </row>
    <row r="190" spans="1:54" x14ac:dyDescent="0.3">
      <c r="A190" s="222">
        <v>2025</v>
      </c>
      <c r="B190" s="222"/>
      <c r="C190" s="370" t="s">
        <v>438</v>
      </c>
      <c r="D190" s="373" t="s">
        <v>291</v>
      </c>
      <c r="E190" s="402" t="s">
        <v>53</v>
      </c>
      <c r="F190" s="370" t="s">
        <v>596</v>
      </c>
      <c r="G190" s="343" t="s">
        <v>42</v>
      </c>
      <c r="H190" s="286" t="s">
        <v>42</v>
      </c>
      <c r="I190" s="211" t="s">
        <v>503</v>
      </c>
      <c r="K190" s="343"/>
      <c r="L190" s="343" t="s">
        <v>32</v>
      </c>
      <c r="M190" s="374"/>
      <c r="N190" s="211"/>
      <c r="O190" s="211"/>
      <c r="P190" s="211"/>
      <c r="Q190" s="255"/>
      <c r="R190" s="255"/>
      <c r="S190" s="370"/>
      <c r="T190" s="370"/>
      <c r="U190" s="211"/>
      <c r="V190" s="211"/>
      <c r="W190" s="211"/>
      <c r="X190" s="211"/>
      <c r="Y190" s="211"/>
      <c r="Z190" s="211"/>
      <c r="AA190" s="255"/>
      <c r="AB190" s="211"/>
      <c r="AC190" s="255"/>
      <c r="AD190" s="210"/>
      <c r="AE190" s="211"/>
      <c r="AF190" s="211"/>
      <c r="AG190" s="211"/>
      <c r="AH190" s="211"/>
      <c r="AI190" s="211"/>
      <c r="AJ190" s="211"/>
      <c r="AK190" s="211"/>
      <c r="AL190" s="211"/>
      <c r="AM190" s="211"/>
      <c r="AN190" s="211"/>
      <c r="AO190" s="211"/>
      <c r="AP190" s="211"/>
      <c r="AQ190" s="211"/>
      <c r="AR190" s="211"/>
      <c r="AS190" s="255"/>
      <c r="AT190" s="210"/>
      <c r="AU190" s="211"/>
      <c r="AV190" s="255"/>
      <c r="AW190" s="210"/>
      <c r="AX190" s="210"/>
      <c r="AY190" s="266"/>
      <c r="AZ190" s="266"/>
      <c r="BA190" s="266"/>
      <c r="BB190" s="266"/>
    </row>
    <row r="191" spans="1:54" x14ac:dyDescent="0.3">
      <c r="A191" s="222">
        <v>2025</v>
      </c>
      <c r="B191" s="222" t="s">
        <v>35</v>
      </c>
      <c r="C191" s="370" t="s">
        <v>441</v>
      </c>
      <c r="D191" s="373" t="s">
        <v>103</v>
      </c>
      <c r="E191" s="402" t="s">
        <v>31</v>
      </c>
      <c r="F191" s="370" t="s">
        <v>596</v>
      </c>
      <c r="G191" s="343" t="s">
        <v>42</v>
      </c>
      <c r="H191" s="286" t="s">
        <v>42</v>
      </c>
      <c r="I191" s="211" t="s">
        <v>503</v>
      </c>
      <c r="J191" s="341">
        <f>37+121</f>
        <v>158</v>
      </c>
      <c r="K191" s="343"/>
      <c r="L191" s="343" t="s">
        <v>32</v>
      </c>
      <c r="M191" s="374"/>
      <c r="N191" s="211"/>
      <c r="O191" s="211"/>
      <c r="P191" s="211"/>
      <c r="Q191" s="255"/>
      <c r="R191" s="255"/>
      <c r="S191" s="370" t="s">
        <v>442</v>
      </c>
      <c r="T191" s="370"/>
      <c r="U191" s="211"/>
      <c r="V191" s="211"/>
      <c r="W191" s="211"/>
      <c r="X191" s="211"/>
      <c r="Y191" s="211"/>
      <c r="Z191" s="211"/>
      <c r="AA191" s="255"/>
      <c r="AB191" s="211"/>
      <c r="AC191" s="255"/>
      <c r="AD191" s="210"/>
      <c r="AE191" s="211"/>
      <c r="AF191" s="211"/>
      <c r="AG191" s="211"/>
      <c r="AH191" s="211"/>
      <c r="AI191" s="211"/>
      <c r="AJ191" s="211"/>
      <c r="AK191" s="211"/>
      <c r="AL191" s="211"/>
      <c r="AM191" s="211"/>
      <c r="AN191" s="211"/>
      <c r="AO191" s="211"/>
      <c r="AP191" s="211"/>
      <c r="AQ191" s="211"/>
      <c r="AR191" s="211"/>
      <c r="AS191" s="255"/>
      <c r="AT191" s="210"/>
      <c r="AU191" s="211"/>
      <c r="AV191" s="255"/>
      <c r="AW191" s="210"/>
      <c r="AX191" s="210"/>
      <c r="AY191" s="266"/>
      <c r="AZ191" s="266"/>
      <c r="BA191" s="266"/>
      <c r="BB191" s="266"/>
    </row>
    <row r="192" spans="1:54" x14ac:dyDescent="0.3">
      <c r="A192" s="222">
        <v>2024</v>
      </c>
      <c r="B192" s="222" t="s">
        <v>35</v>
      </c>
      <c r="C192" s="370" t="s">
        <v>610</v>
      </c>
      <c r="D192" s="370" t="s">
        <v>611</v>
      </c>
      <c r="E192" s="370" t="s">
        <v>72</v>
      </c>
      <c r="F192" s="370" t="s">
        <v>596</v>
      </c>
      <c r="G192" s="371">
        <v>24000000</v>
      </c>
      <c r="H192" s="286" t="s">
        <v>42</v>
      </c>
      <c r="I192" s="211" t="s">
        <v>503</v>
      </c>
      <c r="J192" s="285">
        <v>163</v>
      </c>
      <c r="K192" s="219"/>
      <c r="L192" s="211" t="s">
        <v>32</v>
      </c>
      <c r="M192" s="258" t="s">
        <v>100</v>
      </c>
      <c r="N192" s="211"/>
      <c r="O192" s="211"/>
      <c r="P192" s="211"/>
      <c r="Q192" s="255"/>
      <c r="R192" s="255"/>
      <c r="S192" s="370"/>
      <c r="T192" s="370"/>
      <c r="U192" s="211"/>
      <c r="V192" s="211"/>
      <c r="W192" s="211"/>
      <c r="X192" s="211"/>
      <c r="Y192" s="211"/>
      <c r="Z192" s="211"/>
      <c r="AA192" s="255"/>
      <c r="AB192" s="211"/>
      <c r="AC192" s="255"/>
      <c r="AD192" s="210"/>
      <c r="AE192" s="211"/>
      <c r="AF192" s="211"/>
      <c r="AG192" s="211"/>
      <c r="AH192" s="211"/>
      <c r="AI192" s="211"/>
      <c r="AJ192" s="211"/>
      <c r="AK192" s="211"/>
      <c r="AL192" s="211"/>
      <c r="AM192" s="211"/>
      <c r="AN192" s="211"/>
      <c r="AO192" s="211"/>
      <c r="AP192" s="211"/>
      <c r="AQ192" s="211"/>
      <c r="AR192" s="211"/>
      <c r="AS192" s="255"/>
      <c r="AT192" s="210"/>
      <c r="AU192" s="211"/>
      <c r="AV192" s="255"/>
      <c r="AW192" s="210"/>
      <c r="AX192" s="210"/>
    </row>
    <row r="193" spans="1:55" s="266" customFormat="1" x14ac:dyDescent="0.3">
      <c r="A193" s="222">
        <v>2025</v>
      </c>
      <c r="B193" s="222" t="s">
        <v>35</v>
      </c>
      <c r="C193" s="247" t="s">
        <v>612</v>
      </c>
      <c r="D193" s="247" t="s">
        <v>272</v>
      </c>
      <c r="E193" s="247" t="s">
        <v>273</v>
      </c>
      <c r="F193" s="370" t="s">
        <v>596</v>
      </c>
      <c r="G193" s="248">
        <v>40000000</v>
      </c>
      <c r="H193" s="286" t="s">
        <v>42</v>
      </c>
      <c r="I193" s="250" t="s">
        <v>503</v>
      </c>
      <c r="J193" s="251">
        <v>650</v>
      </c>
      <c r="K193" s="252" t="s">
        <v>42</v>
      </c>
      <c r="L193" s="250" t="s">
        <v>32</v>
      </c>
      <c r="M193" s="250" t="s">
        <v>613</v>
      </c>
      <c r="N193" s="250"/>
      <c r="O193" s="253"/>
      <c r="P193" s="250"/>
      <c r="Q193" s="254"/>
      <c r="R193" s="254"/>
      <c r="S193" s="247" t="s">
        <v>614</v>
      </c>
      <c r="T193" s="247"/>
      <c r="U193" s="250"/>
      <c r="V193" s="250"/>
      <c r="W193" s="250"/>
      <c r="X193" s="250"/>
      <c r="Y193" s="250"/>
      <c r="Z193" s="250"/>
      <c r="AA193" s="254"/>
      <c r="AB193" s="250"/>
      <c r="AC193" s="254"/>
      <c r="AD193" s="358"/>
      <c r="AE193" s="258"/>
      <c r="AF193" s="258"/>
      <c r="AG193" s="258"/>
      <c r="AH193" s="258"/>
      <c r="AI193" s="258"/>
      <c r="AJ193" s="258"/>
      <c r="AK193" s="258"/>
      <c r="AL193" s="258"/>
      <c r="AM193" s="258"/>
      <c r="AN193" s="258"/>
      <c r="AO193" s="258"/>
      <c r="AP193" s="258"/>
      <c r="AQ193" s="250"/>
      <c r="AR193" s="250"/>
      <c r="AS193" s="254"/>
      <c r="AT193" s="358"/>
      <c r="AU193" s="250"/>
      <c r="AV193" s="254"/>
      <c r="AW193" s="358"/>
      <c r="AX193" s="358"/>
    </row>
    <row r="194" spans="1:55" x14ac:dyDescent="0.3">
      <c r="A194" s="222">
        <v>2025</v>
      </c>
      <c r="B194" s="222"/>
      <c r="C194" s="370" t="s">
        <v>615</v>
      </c>
      <c r="D194" s="282" t="s">
        <v>238</v>
      </c>
      <c r="E194" s="282" t="s">
        <v>31</v>
      </c>
      <c r="F194" s="370" t="s">
        <v>596</v>
      </c>
      <c r="G194" s="283">
        <v>3450000</v>
      </c>
      <c r="H194" s="286" t="s">
        <v>42</v>
      </c>
      <c r="I194" s="258" t="s">
        <v>531</v>
      </c>
      <c r="J194" s="285">
        <v>357</v>
      </c>
      <c r="K194" s="286">
        <v>0</v>
      </c>
      <c r="L194" s="258" t="s">
        <v>32</v>
      </c>
      <c r="M194" s="258" t="s">
        <v>100</v>
      </c>
      <c r="N194" s="211"/>
      <c r="O194" s="211">
        <v>7.33</v>
      </c>
      <c r="P194" s="211"/>
      <c r="Q194" s="255"/>
      <c r="R194" s="255"/>
      <c r="S194" s="370" t="s">
        <v>616</v>
      </c>
      <c r="T194" s="370"/>
      <c r="U194" s="211"/>
      <c r="V194" s="211"/>
      <c r="W194" s="211"/>
      <c r="X194" s="211"/>
      <c r="Y194" s="211"/>
      <c r="Z194" s="211"/>
      <c r="AA194" s="255"/>
      <c r="AB194" s="211"/>
      <c r="AC194" s="255"/>
      <c r="AD194" s="210"/>
      <c r="AE194" s="211"/>
      <c r="AF194" s="211"/>
      <c r="AG194" s="211"/>
      <c r="AH194" s="211"/>
      <c r="AI194" s="211"/>
      <c r="AJ194" s="211"/>
      <c r="AK194" s="211"/>
      <c r="AL194" s="211"/>
      <c r="AM194" s="211"/>
      <c r="AN194" s="211"/>
      <c r="AO194" s="211"/>
      <c r="AP194" s="211"/>
      <c r="AQ194" s="211"/>
      <c r="AR194" s="211"/>
      <c r="AS194" s="255"/>
      <c r="AT194" s="210"/>
      <c r="AU194" s="211"/>
      <c r="AV194" s="255"/>
      <c r="AW194" s="210"/>
      <c r="AX194" s="210"/>
      <c r="AY194" s="266"/>
      <c r="AZ194" s="266"/>
      <c r="BA194" s="266"/>
    </row>
    <row r="195" spans="1:55" s="266" customFormat="1" x14ac:dyDescent="0.3">
      <c r="A195" s="222">
        <v>2025</v>
      </c>
      <c r="B195" s="222" t="s">
        <v>35</v>
      </c>
      <c r="C195" s="247" t="s">
        <v>66</v>
      </c>
      <c r="D195" s="247" t="s">
        <v>67</v>
      </c>
      <c r="E195" s="247" t="s">
        <v>68</v>
      </c>
      <c r="F195" s="370" t="s">
        <v>596</v>
      </c>
      <c r="G195" s="248">
        <v>13500000</v>
      </c>
      <c r="H195" s="249">
        <v>0.35599999999999998</v>
      </c>
      <c r="I195" s="250" t="s">
        <v>503</v>
      </c>
      <c r="J195" s="251">
        <v>404</v>
      </c>
      <c r="K195" s="252">
        <v>0.88</v>
      </c>
      <c r="L195" s="250" t="s">
        <v>32</v>
      </c>
      <c r="M195" s="250" t="s">
        <v>547</v>
      </c>
      <c r="N195" s="250"/>
      <c r="O195" s="253" t="s">
        <v>116</v>
      </c>
      <c r="P195" s="250"/>
      <c r="Q195" s="254"/>
      <c r="R195" s="254"/>
      <c r="S195" s="247" t="s">
        <v>617</v>
      </c>
      <c r="T195" s="247"/>
      <c r="U195" s="250"/>
      <c r="V195" s="250"/>
      <c r="W195" s="250"/>
      <c r="X195" s="250"/>
      <c r="Y195" s="250"/>
      <c r="Z195" s="250"/>
      <c r="AA195" s="254"/>
      <c r="AB195" s="250"/>
      <c r="AC195" s="254"/>
      <c r="AD195" s="358"/>
      <c r="AE195" s="258"/>
      <c r="AF195" s="258"/>
      <c r="AG195" s="258"/>
      <c r="AH195" s="258"/>
      <c r="AI195" s="258"/>
      <c r="AJ195" s="258"/>
      <c r="AK195" s="258"/>
      <c r="AL195" s="258"/>
      <c r="AM195" s="258"/>
      <c r="AN195" s="258"/>
      <c r="AO195" s="258"/>
      <c r="AP195" s="258"/>
      <c r="AQ195" s="250"/>
      <c r="AR195" s="250"/>
      <c r="AS195" s="254"/>
      <c r="AT195" s="358"/>
      <c r="AU195" s="250"/>
      <c r="AV195" s="254"/>
      <c r="AW195" s="358"/>
      <c r="AX195" s="358"/>
    </row>
    <row r="196" spans="1:55" x14ac:dyDescent="0.3">
      <c r="A196" s="222">
        <v>2024</v>
      </c>
      <c r="B196" s="222" t="s">
        <v>35</v>
      </c>
      <c r="C196" s="370" t="s">
        <v>373</v>
      </c>
      <c r="D196" s="194" t="s">
        <v>374</v>
      </c>
      <c r="E196" s="194" t="s">
        <v>115</v>
      </c>
      <c r="F196" s="370" t="s">
        <v>596</v>
      </c>
      <c r="G196" s="343">
        <v>13500000</v>
      </c>
      <c r="H196" s="286" t="s">
        <v>42</v>
      </c>
      <c r="I196" s="211" t="s">
        <v>503</v>
      </c>
      <c r="J196" s="352">
        <v>1100</v>
      </c>
      <c r="K196" s="343"/>
      <c r="L196" s="341" t="s">
        <v>32</v>
      </c>
      <c r="M196" s="374" t="str">
        <f>IFERROR(IF(AND(K196&lt;&gt;"Market",L196&lt;&gt;"TBD"),L196/K196,""),"")</f>
        <v/>
      </c>
      <c r="N196" s="211"/>
      <c r="O196" s="211"/>
      <c r="P196" s="211"/>
      <c r="Q196" s="255"/>
      <c r="R196" s="255"/>
      <c r="S196" s="370" t="s">
        <v>375</v>
      </c>
      <c r="T196" s="370"/>
      <c r="U196" s="211"/>
      <c r="V196" s="211"/>
      <c r="W196" s="211"/>
      <c r="X196" s="211"/>
      <c r="Y196" s="211"/>
      <c r="Z196" s="211"/>
      <c r="AA196" s="255"/>
      <c r="AB196" s="211"/>
      <c r="AC196" s="255"/>
      <c r="AD196" s="210"/>
      <c r="AE196" s="211"/>
      <c r="AF196" s="211"/>
      <c r="AG196" s="211"/>
      <c r="AH196" s="211"/>
      <c r="AI196" s="211"/>
      <c r="AJ196" s="211"/>
      <c r="AK196" s="211"/>
      <c r="AL196" s="211"/>
      <c r="AM196" s="211"/>
      <c r="AN196" s="211"/>
      <c r="AO196" s="211"/>
      <c r="AP196" s="211"/>
      <c r="AQ196" s="211"/>
      <c r="AR196" s="211"/>
      <c r="AS196" s="255"/>
      <c r="AT196" s="210"/>
      <c r="AU196" s="211"/>
      <c r="AV196" s="255"/>
      <c r="AW196" s="210"/>
      <c r="AX196" s="210"/>
      <c r="AY196" s="266"/>
      <c r="AZ196" s="266"/>
      <c r="BA196" s="266"/>
    </row>
    <row r="197" spans="1:55" x14ac:dyDescent="0.3">
      <c r="A197" s="222">
        <v>2024</v>
      </c>
      <c r="B197" s="222" t="s">
        <v>35</v>
      </c>
      <c r="C197" s="370" t="s">
        <v>297</v>
      </c>
      <c r="D197" s="282" t="s">
        <v>298</v>
      </c>
      <c r="E197" s="282" t="s">
        <v>299</v>
      </c>
      <c r="F197" s="370" t="s">
        <v>596</v>
      </c>
      <c r="G197" s="283">
        <v>10000000</v>
      </c>
      <c r="H197" s="286" t="s">
        <v>42</v>
      </c>
      <c r="I197" s="258" t="s">
        <v>503</v>
      </c>
      <c r="J197" s="285">
        <v>300</v>
      </c>
      <c r="K197" s="286"/>
      <c r="L197" s="258" t="s">
        <v>32</v>
      </c>
      <c r="M197" s="258"/>
      <c r="N197" s="211"/>
      <c r="O197" s="211"/>
      <c r="P197" s="211"/>
      <c r="Q197" s="255"/>
      <c r="R197" s="255"/>
      <c r="S197" s="370" t="s">
        <v>618</v>
      </c>
      <c r="T197" s="370"/>
      <c r="U197" s="211"/>
      <c r="V197" s="211"/>
      <c r="W197" s="211"/>
      <c r="X197" s="211"/>
      <c r="Y197" s="211"/>
      <c r="Z197" s="211"/>
      <c r="AA197" s="255"/>
      <c r="AB197" s="211"/>
      <c r="AC197" s="255"/>
      <c r="AD197" s="210"/>
      <c r="AE197" s="211"/>
      <c r="AF197" s="211"/>
      <c r="AG197" s="211"/>
      <c r="AH197" s="211"/>
      <c r="AI197" s="211"/>
      <c r="AJ197" s="211"/>
      <c r="AK197" s="211"/>
      <c r="AL197" s="211"/>
      <c r="AM197" s="211"/>
      <c r="AN197" s="211"/>
      <c r="AO197" s="211"/>
      <c r="AP197" s="211"/>
      <c r="AQ197" s="211"/>
      <c r="AR197" s="211"/>
      <c r="AS197" s="255"/>
      <c r="AT197" s="210"/>
      <c r="AU197" s="211"/>
      <c r="AV197" s="255"/>
      <c r="AW197" s="210"/>
      <c r="AX197" s="210"/>
      <c r="AY197" s="266"/>
      <c r="AZ197" s="266"/>
      <c r="BA197" s="266"/>
    </row>
    <row r="198" spans="1:55" x14ac:dyDescent="0.3">
      <c r="A198" s="222">
        <v>2025</v>
      </c>
      <c r="B198" s="222"/>
      <c r="C198" s="247" t="s">
        <v>619</v>
      </c>
      <c r="D198" s="247" t="s">
        <v>620</v>
      </c>
      <c r="E198" s="247" t="s">
        <v>75</v>
      </c>
      <c r="F198" s="370" t="s">
        <v>596</v>
      </c>
      <c r="G198" s="248" t="s">
        <v>42</v>
      </c>
      <c r="H198" s="252" t="s">
        <v>42</v>
      </c>
      <c r="I198" s="250" t="s">
        <v>503</v>
      </c>
      <c r="J198" s="341">
        <v>850</v>
      </c>
      <c r="K198" s="252" t="s">
        <v>42</v>
      </c>
      <c r="L198" s="250" t="s">
        <v>32</v>
      </c>
      <c r="M198" s="250" t="s">
        <v>100</v>
      </c>
      <c r="N198" s="211"/>
      <c r="O198" s="253" t="s">
        <v>621</v>
      </c>
      <c r="P198" s="250"/>
      <c r="Q198" s="254"/>
      <c r="R198" s="254"/>
      <c r="S198" s="247" t="s">
        <v>622</v>
      </c>
      <c r="T198" s="247"/>
      <c r="U198" s="211"/>
      <c r="V198" s="211"/>
      <c r="W198" s="211"/>
      <c r="X198" s="211"/>
      <c r="Y198" s="211"/>
      <c r="Z198" s="211"/>
      <c r="AA198" s="255"/>
      <c r="AB198" s="211"/>
      <c r="AC198" s="255"/>
      <c r="AD198" s="210"/>
      <c r="AE198" s="258"/>
      <c r="AF198" s="258"/>
      <c r="AG198" s="258"/>
      <c r="AH198" s="258"/>
      <c r="AI198" s="258"/>
      <c r="AJ198" s="258"/>
      <c r="AK198" s="258"/>
      <c r="AL198" s="258"/>
      <c r="AM198" s="258"/>
      <c r="AN198" s="258"/>
      <c r="AO198" s="258"/>
      <c r="AP198" s="258"/>
      <c r="AQ198" s="205"/>
      <c r="AR198" s="205"/>
      <c r="AS198" s="255"/>
      <c r="AT198" s="210"/>
      <c r="AU198" s="205"/>
      <c r="AV198" s="255"/>
      <c r="AW198" s="210"/>
      <c r="AX198" s="210"/>
      <c r="AY198" s="266"/>
      <c r="AZ198" s="266"/>
      <c r="BA198" s="266"/>
      <c r="BB198" s="266"/>
      <c r="BC198" s="266"/>
    </row>
    <row r="199" spans="1:55" s="266" customFormat="1" x14ac:dyDescent="0.3">
      <c r="A199" s="222">
        <v>2025</v>
      </c>
      <c r="B199" s="222" t="s">
        <v>35</v>
      </c>
      <c r="C199" s="247" t="s">
        <v>81</v>
      </c>
      <c r="D199" s="247" t="s">
        <v>82</v>
      </c>
      <c r="E199" s="247" t="s">
        <v>31</v>
      </c>
      <c r="F199" s="370" t="s">
        <v>596</v>
      </c>
      <c r="G199" s="248">
        <v>8000000</v>
      </c>
      <c r="H199" s="252" t="s">
        <v>42</v>
      </c>
      <c r="I199" s="258" t="s">
        <v>531</v>
      </c>
      <c r="J199" s="251">
        <v>450</v>
      </c>
      <c r="K199" s="252">
        <v>0</v>
      </c>
      <c r="L199" s="250" t="s">
        <v>32</v>
      </c>
      <c r="M199" s="250" t="s">
        <v>100</v>
      </c>
      <c r="N199" s="250"/>
      <c r="O199" s="253">
        <v>5.2919999999999998</v>
      </c>
      <c r="P199" s="250"/>
      <c r="Q199" s="254"/>
      <c r="R199" s="254"/>
      <c r="S199" s="247"/>
      <c r="T199" s="247"/>
      <c r="U199" s="250"/>
      <c r="V199" s="250"/>
      <c r="W199" s="250"/>
      <c r="X199" s="250"/>
      <c r="Y199" s="250"/>
      <c r="Z199" s="250"/>
      <c r="AA199" s="254"/>
      <c r="AB199" s="250"/>
      <c r="AC199" s="254"/>
      <c r="AD199" s="358"/>
      <c r="AE199" s="258"/>
      <c r="AF199" s="258"/>
      <c r="AG199" s="258"/>
      <c r="AH199" s="258"/>
      <c r="AI199" s="258"/>
      <c r="AJ199" s="258"/>
      <c r="AK199" s="258"/>
      <c r="AL199" s="258"/>
      <c r="AM199" s="258"/>
      <c r="AN199" s="258"/>
      <c r="AO199" s="258"/>
      <c r="AP199" s="258"/>
      <c r="AQ199" s="250"/>
      <c r="AR199" s="250"/>
      <c r="AS199" s="254"/>
      <c r="AT199" s="358"/>
      <c r="AU199" s="250"/>
      <c r="AV199" s="254"/>
      <c r="AW199" s="358"/>
      <c r="AX199" s="358"/>
    </row>
    <row r="200" spans="1:55" x14ac:dyDescent="0.3">
      <c r="A200" s="222">
        <v>2025</v>
      </c>
      <c r="B200" s="222"/>
      <c r="C200" s="282" t="s">
        <v>623</v>
      </c>
      <c r="D200" s="282" t="s">
        <v>38</v>
      </c>
      <c r="E200" s="282" t="s">
        <v>31</v>
      </c>
      <c r="F200" s="370" t="s">
        <v>596</v>
      </c>
      <c r="G200" s="283" t="s">
        <v>314</v>
      </c>
      <c r="H200" s="286" t="s">
        <v>42</v>
      </c>
      <c r="I200" s="258" t="s">
        <v>503</v>
      </c>
      <c r="J200" s="285">
        <v>42</v>
      </c>
      <c r="K200" s="286" t="s">
        <v>42</v>
      </c>
      <c r="L200" s="258" t="s">
        <v>32</v>
      </c>
      <c r="M200" s="258" t="s">
        <v>100</v>
      </c>
      <c r="N200" s="258"/>
      <c r="O200" s="258">
        <v>8.5299999999999994</v>
      </c>
      <c r="P200" s="258"/>
      <c r="Q200" s="263"/>
      <c r="R200" s="263"/>
      <c r="S200" s="282" t="s">
        <v>624</v>
      </c>
      <c r="T200" s="282"/>
      <c r="U200" s="258"/>
      <c r="V200" s="258"/>
      <c r="W200" s="258"/>
      <c r="X200" s="258"/>
      <c r="Y200" s="258"/>
      <c r="Z200" s="258"/>
      <c r="AA200" s="263"/>
      <c r="AB200" s="258"/>
      <c r="AC200" s="263"/>
      <c r="AD200" s="353"/>
      <c r="AE200" s="258"/>
      <c r="AF200" s="258"/>
      <c r="AG200" s="258"/>
      <c r="AH200" s="258"/>
      <c r="AI200" s="258"/>
      <c r="AJ200" s="258"/>
      <c r="AK200" s="258"/>
      <c r="AL200" s="258"/>
      <c r="AM200" s="258"/>
      <c r="AN200" s="258"/>
      <c r="AO200" s="258"/>
      <c r="AP200" s="258"/>
      <c r="AQ200" s="258"/>
      <c r="AR200" s="258"/>
      <c r="AS200" s="263"/>
      <c r="AT200" s="353"/>
      <c r="AU200" s="258"/>
      <c r="AV200" s="263"/>
      <c r="AW200" s="353"/>
      <c r="AX200" s="353"/>
      <c r="AY200" s="266"/>
      <c r="AZ200" s="266"/>
      <c r="BA200" s="266"/>
      <c r="BB200" s="266"/>
    </row>
    <row r="201" spans="1:55" x14ac:dyDescent="0.3">
      <c r="A201" s="222">
        <v>2023</v>
      </c>
      <c r="B201" s="222" t="s">
        <v>35</v>
      </c>
      <c r="C201" s="370" t="s">
        <v>227</v>
      </c>
      <c r="D201" s="282" t="s">
        <v>228</v>
      </c>
      <c r="E201" s="282" t="s">
        <v>31</v>
      </c>
      <c r="F201" s="370" t="s">
        <v>596</v>
      </c>
      <c r="G201" s="283">
        <v>9000000</v>
      </c>
      <c r="H201" s="286" t="s">
        <v>42</v>
      </c>
      <c r="I201" s="258" t="s">
        <v>503</v>
      </c>
      <c r="J201" s="285">
        <v>31</v>
      </c>
      <c r="K201" s="286">
        <v>1</v>
      </c>
      <c r="L201" s="258" t="s">
        <v>48</v>
      </c>
      <c r="M201" s="258" t="s">
        <v>110</v>
      </c>
      <c r="N201" s="211" t="s">
        <v>35</v>
      </c>
      <c r="O201" s="211">
        <v>1.7</v>
      </c>
      <c r="P201" s="211"/>
      <c r="Q201" s="255"/>
      <c r="R201" s="255"/>
      <c r="S201" s="370" t="s">
        <v>625</v>
      </c>
      <c r="T201" s="370"/>
      <c r="U201" s="211"/>
      <c r="V201" s="211"/>
      <c r="W201" s="211"/>
      <c r="X201" s="211"/>
      <c r="Y201" s="211"/>
      <c r="Z201" s="211"/>
      <c r="AA201" s="255"/>
      <c r="AB201" s="211"/>
      <c r="AC201" s="255"/>
      <c r="AD201" s="210"/>
      <c r="AE201" s="211"/>
      <c r="AF201" s="211"/>
      <c r="AG201" s="211"/>
      <c r="AH201" s="211"/>
      <c r="AI201" s="211"/>
      <c r="AJ201" s="211"/>
      <c r="AK201" s="211"/>
      <c r="AL201" s="211"/>
      <c r="AM201" s="211"/>
      <c r="AN201" s="211"/>
      <c r="AO201" s="211"/>
      <c r="AP201" s="211"/>
      <c r="AQ201" s="211"/>
      <c r="AR201" s="211"/>
      <c r="AS201" s="255"/>
      <c r="AT201" s="210"/>
      <c r="AU201" s="211"/>
      <c r="AV201" s="255"/>
      <c r="AW201" s="210"/>
      <c r="AX201" s="210"/>
      <c r="AY201" s="266"/>
      <c r="AZ201" s="266"/>
      <c r="BA201" s="266"/>
      <c r="BB201" s="266"/>
    </row>
    <row r="202" spans="1:55" x14ac:dyDescent="0.3">
      <c r="A202" s="222">
        <v>2025</v>
      </c>
      <c r="B202" s="222" t="s">
        <v>35</v>
      </c>
      <c r="C202" s="370" t="s">
        <v>626</v>
      </c>
      <c r="D202" s="282" t="s">
        <v>627</v>
      </c>
      <c r="E202" s="282" t="s">
        <v>325</v>
      </c>
      <c r="F202" s="370" t="s">
        <v>596</v>
      </c>
      <c r="G202" s="283">
        <v>9500000</v>
      </c>
      <c r="H202" s="284">
        <v>0.252</v>
      </c>
      <c r="I202" s="258" t="s">
        <v>503</v>
      </c>
      <c r="J202" s="285">
        <f>180+300</f>
        <v>480</v>
      </c>
      <c r="K202" s="286" t="s">
        <v>42</v>
      </c>
      <c r="L202" s="258" t="s">
        <v>48</v>
      </c>
      <c r="M202" s="250" t="s">
        <v>100</v>
      </c>
      <c r="N202" s="211" t="s">
        <v>35</v>
      </c>
      <c r="O202" s="211"/>
      <c r="P202" s="211"/>
      <c r="Q202" s="255"/>
      <c r="R202" s="255"/>
      <c r="S202" s="370" t="s">
        <v>628</v>
      </c>
      <c r="T202" s="370"/>
      <c r="U202" s="211"/>
      <c r="V202" s="211"/>
      <c r="W202" s="211"/>
      <c r="X202" s="211"/>
      <c r="Y202" s="211"/>
      <c r="Z202" s="211"/>
      <c r="AA202" s="255"/>
      <c r="AB202" s="211"/>
      <c r="AC202" s="255"/>
      <c r="AD202" s="210"/>
      <c r="AE202" s="211"/>
      <c r="AF202" s="211"/>
      <c r="AG202" s="211"/>
      <c r="AH202" s="211"/>
      <c r="AI202" s="211"/>
      <c r="AJ202" s="211"/>
      <c r="AK202" s="211"/>
      <c r="AL202" s="211"/>
      <c r="AM202" s="211"/>
      <c r="AN202" s="211"/>
      <c r="AO202" s="211"/>
      <c r="AP202" s="211"/>
      <c r="AQ202" s="211"/>
      <c r="AR202" s="211"/>
      <c r="AS202" s="255"/>
      <c r="AT202" s="210"/>
      <c r="AU202" s="211"/>
      <c r="AV202" s="255"/>
      <c r="AW202" s="210"/>
      <c r="AX202" s="210"/>
      <c r="AY202" s="266"/>
      <c r="AZ202" s="266"/>
      <c r="BA202" s="266"/>
      <c r="BB202" s="266"/>
    </row>
    <row r="203" spans="1:55" x14ac:dyDescent="0.3">
      <c r="A203" s="222">
        <v>2025</v>
      </c>
      <c r="B203" s="222" t="s">
        <v>35</v>
      </c>
      <c r="C203" s="247" t="s">
        <v>629</v>
      </c>
      <c r="D203" s="247" t="s">
        <v>630</v>
      </c>
      <c r="E203" s="247" t="s">
        <v>299</v>
      </c>
      <c r="F203" s="370" t="s">
        <v>596</v>
      </c>
      <c r="G203" s="248">
        <v>9500000</v>
      </c>
      <c r="H203" s="249" t="s">
        <v>42</v>
      </c>
      <c r="I203" s="250" t="s">
        <v>531</v>
      </c>
      <c r="J203" s="341">
        <v>143</v>
      </c>
      <c r="K203" s="252" t="s">
        <v>42</v>
      </c>
      <c r="L203" s="250" t="s">
        <v>48</v>
      </c>
      <c r="M203" s="250" t="s">
        <v>100</v>
      </c>
      <c r="N203" s="211"/>
      <c r="O203" s="253" t="s">
        <v>116</v>
      </c>
      <c r="P203" s="250"/>
      <c r="Q203" s="254"/>
      <c r="R203" s="254"/>
      <c r="S203" s="247" t="s">
        <v>631</v>
      </c>
      <c r="T203" s="247"/>
      <c r="U203" s="211"/>
      <c r="V203" s="211"/>
      <c r="W203" s="211"/>
      <c r="X203" s="211"/>
      <c r="Y203" s="211"/>
      <c r="Z203" s="211"/>
      <c r="AA203" s="255"/>
      <c r="AB203" s="211"/>
      <c r="AC203" s="255"/>
      <c r="AD203" s="210"/>
      <c r="AE203" s="258"/>
      <c r="AF203" s="258"/>
      <c r="AG203" s="258"/>
      <c r="AH203" s="258"/>
      <c r="AI203" s="258"/>
      <c r="AJ203" s="258"/>
      <c r="AK203" s="258"/>
      <c r="AL203" s="258"/>
      <c r="AM203" s="258"/>
      <c r="AN203" s="258"/>
      <c r="AO203" s="258"/>
      <c r="AP203" s="258"/>
      <c r="AQ203" s="205"/>
      <c r="AR203" s="205"/>
      <c r="AS203" s="255"/>
      <c r="AT203" s="210"/>
      <c r="AU203" s="205"/>
      <c r="AV203" s="255"/>
      <c r="AW203" s="210"/>
      <c r="AX203" s="210"/>
      <c r="AY203" s="266"/>
      <c r="AZ203" s="266"/>
      <c r="BA203" s="266"/>
      <c r="BB203" s="266"/>
      <c r="BC203" s="266"/>
    </row>
    <row r="204" spans="1:55" x14ac:dyDescent="0.3">
      <c r="A204" s="222">
        <v>2025</v>
      </c>
      <c r="B204" s="222" t="s">
        <v>35</v>
      </c>
      <c r="C204" s="282" t="s">
        <v>632</v>
      </c>
      <c r="D204" s="282" t="s">
        <v>633</v>
      </c>
      <c r="E204" s="282" t="s">
        <v>188</v>
      </c>
      <c r="F204" s="370" t="s">
        <v>596</v>
      </c>
      <c r="G204" s="283">
        <v>9000000</v>
      </c>
      <c r="H204" s="284">
        <v>0.33900000000000002</v>
      </c>
      <c r="I204" s="258" t="s">
        <v>556</v>
      </c>
      <c r="J204" s="285">
        <f>260+727</f>
        <v>987</v>
      </c>
      <c r="K204" s="286">
        <v>0.95</v>
      </c>
      <c r="L204" s="258" t="s">
        <v>32</v>
      </c>
      <c r="M204" s="250" t="s">
        <v>100</v>
      </c>
      <c r="N204" s="258"/>
      <c r="O204" s="258">
        <v>130</v>
      </c>
      <c r="P204" s="258"/>
      <c r="Q204" s="263"/>
      <c r="R204" s="263"/>
      <c r="S204" s="282" t="s">
        <v>634</v>
      </c>
      <c r="T204" s="282"/>
      <c r="U204" s="258"/>
      <c r="V204" s="258"/>
      <c r="W204" s="258"/>
      <c r="X204" s="258"/>
      <c r="Y204" s="258"/>
      <c r="Z204" s="258"/>
      <c r="AA204" s="263"/>
      <c r="AB204" s="258"/>
      <c r="AC204" s="263"/>
      <c r="AD204" s="353"/>
      <c r="AE204" s="258"/>
      <c r="AF204" s="258"/>
      <c r="AG204" s="258"/>
      <c r="AH204" s="258"/>
      <c r="AI204" s="258"/>
      <c r="AJ204" s="258"/>
      <c r="AK204" s="258"/>
      <c r="AL204" s="258"/>
      <c r="AM204" s="258"/>
      <c r="AN204" s="258"/>
      <c r="AO204" s="258"/>
      <c r="AP204" s="258"/>
      <c r="AQ204" s="258"/>
      <c r="AR204" s="258"/>
      <c r="AS204" s="263"/>
      <c r="AT204" s="353"/>
      <c r="AU204" s="258"/>
      <c r="AV204" s="263"/>
      <c r="AW204" s="353"/>
      <c r="AX204" s="353"/>
      <c r="AY204" s="266"/>
      <c r="AZ204" s="266"/>
      <c r="BA204" s="266"/>
      <c r="BB204" s="266"/>
    </row>
    <row r="205" spans="1:55" x14ac:dyDescent="0.3">
      <c r="A205" s="222">
        <v>2025</v>
      </c>
      <c r="B205" s="222" t="s">
        <v>35</v>
      </c>
      <c r="C205" s="282" t="s">
        <v>635</v>
      </c>
      <c r="D205" s="282" t="s">
        <v>636</v>
      </c>
      <c r="E205" s="282" t="s">
        <v>75</v>
      </c>
      <c r="F205" s="370" t="s">
        <v>596</v>
      </c>
      <c r="G205" s="283">
        <v>26000000</v>
      </c>
      <c r="H205" s="284">
        <v>0.248</v>
      </c>
      <c r="I205" s="258" t="s">
        <v>503</v>
      </c>
      <c r="J205" s="285">
        <v>400</v>
      </c>
      <c r="K205" s="286" t="s">
        <v>42</v>
      </c>
      <c r="L205" s="258" t="s">
        <v>32</v>
      </c>
      <c r="M205" s="250" t="s">
        <v>100</v>
      </c>
      <c r="N205" s="211" t="str">
        <f>IF(L205="Broker","","Yes")</f>
        <v/>
      </c>
      <c r="O205" s="258">
        <v>13.1</v>
      </c>
      <c r="P205" s="258"/>
      <c r="Q205" s="263"/>
      <c r="R205" s="263"/>
      <c r="S205" s="282" t="s">
        <v>637</v>
      </c>
      <c r="T205" s="282"/>
      <c r="U205" s="258"/>
      <c r="V205" s="258"/>
      <c r="W205" s="258"/>
      <c r="X205" s="258"/>
      <c r="Y205" s="258"/>
      <c r="Z205" s="258"/>
      <c r="AA205" s="263"/>
      <c r="AB205" s="258"/>
      <c r="AC205" s="263"/>
      <c r="AD205" s="353"/>
      <c r="AE205" s="258"/>
      <c r="AF205" s="258"/>
      <c r="AG205" s="258"/>
      <c r="AH205" s="258"/>
      <c r="AI205" s="258"/>
      <c r="AJ205" s="258"/>
      <c r="AK205" s="258"/>
      <c r="AL205" s="258"/>
      <c r="AM205" s="258"/>
      <c r="AN205" s="258"/>
      <c r="AO205" s="258"/>
      <c r="AP205" s="258"/>
      <c r="AQ205" s="258"/>
      <c r="AR205" s="258"/>
      <c r="AS205" s="263" t="str">
        <f>IF(W205="","TBD",W205+AR205)</f>
        <v>TBD</v>
      </c>
      <c r="AT205" s="353"/>
      <c r="AU205" s="258"/>
      <c r="AV205" s="263" t="str">
        <f>IF(AA205="","TBD",AA205+AU205)</f>
        <v>TBD</v>
      </c>
      <c r="AW205" s="353"/>
      <c r="AX205" s="353"/>
      <c r="AY205" s="266"/>
      <c r="AZ205" s="266"/>
      <c r="BA205" s="266"/>
      <c r="BB205" s="266"/>
    </row>
    <row r="206" spans="1:55" x14ac:dyDescent="0.3">
      <c r="A206" s="222"/>
      <c r="B206" s="222"/>
      <c r="C206" s="282" t="s">
        <v>638</v>
      </c>
      <c r="D206" s="282" t="s">
        <v>639</v>
      </c>
      <c r="E206" s="282" t="s">
        <v>31</v>
      </c>
      <c r="F206" s="370" t="s">
        <v>596</v>
      </c>
      <c r="G206" s="283" t="s">
        <v>42</v>
      </c>
      <c r="H206" s="284" t="s">
        <v>42</v>
      </c>
      <c r="I206" s="258" t="s">
        <v>503</v>
      </c>
      <c r="J206" s="285">
        <v>135</v>
      </c>
      <c r="K206" s="286" t="s">
        <v>42</v>
      </c>
      <c r="L206" s="258" t="s">
        <v>48</v>
      </c>
      <c r="M206" s="250" t="s">
        <v>100</v>
      </c>
      <c r="N206" s="211"/>
      <c r="O206" s="258"/>
      <c r="P206" s="258"/>
      <c r="Q206" s="263"/>
      <c r="R206" s="263"/>
      <c r="S206" s="282" t="s">
        <v>640</v>
      </c>
      <c r="T206" s="282"/>
      <c r="U206" s="258"/>
      <c r="V206" s="258"/>
      <c r="W206" s="258"/>
      <c r="X206" s="258"/>
      <c r="Y206" s="258"/>
      <c r="Z206" s="258"/>
      <c r="AA206" s="263"/>
      <c r="AB206" s="258"/>
      <c r="AC206" s="263"/>
      <c r="AD206" s="353"/>
      <c r="AE206" s="258"/>
      <c r="AF206" s="258"/>
      <c r="AG206" s="258"/>
      <c r="AH206" s="258"/>
      <c r="AI206" s="258"/>
      <c r="AJ206" s="258"/>
      <c r="AK206" s="258"/>
      <c r="AL206" s="258"/>
      <c r="AM206" s="258"/>
      <c r="AN206" s="258"/>
      <c r="AO206" s="258"/>
      <c r="AP206" s="258"/>
      <c r="AQ206" s="258"/>
      <c r="AR206" s="258"/>
      <c r="AS206" s="263"/>
      <c r="AT206" s="353"/>
      <c r="AU206" s="258"/>
      <c r="AV206" s="263"/>
      <c r="AW206" s="353"/>
      <c r="AX206" s="353"/>
      <c r="AY206" s="266"/>
      <c r="AZ206" s="266"/>
      <c r="BA206" s="266"/>
      <c r="BB206" s="266"/>
    </row>
    <row r="207" spans="1:55" x14ac:dyDescent="0.3">
      <c r="A207" s="222">
        <v>2025</v>
      </c>
      <c r="B207" s="222" t="s">
        <v>35</v>
      </c>
      <c r="C207" s="282" t="s">
        <v>641</v>
      </c>
      <c r="D207" s="282" t="s">
        <v>642</v>
      </c>
      <c r="E207" s="282" t="s">
        <v>643</v>
      </c>
      <c r="F207" s="370" t="s">
        <v>596</v>
      </c>
      <c r="G207" s="283">
        <v>10500000</v>
      </c>
      <c r="H207" s="284">
        <v>0.25700000000000001</v>
      </c>
      <c r="I207" s="258" t="s">
        <v>503</v>
      </c>
      <c r="J207" s="285">
        <f>128+84+450</f>
        <v>662</v>
      </c>
      <c r="K207" s="286">
        <v>0.95</v>
      </c>
      <c r="L207" s="258" t="s">
        <v>48</v>
      </c>
      <c r="M207" s="250" t="s">
        <v>100</v>
      </c>
      <c r="N207" s="211" t="str">
        <f>IF(L207="Broker","","Yes")</f>
        <v>Yes</v>
      </c>
      <c r="O207" s="258">
        <v>31</v>
      </c>
      <c r="P207" s="258"/>
      <c r="Q207" s="263"/>
      <c r="R207" s="263"/>
      <c r="S207" s="282" t="s">
        <v>644</v>
      </c>
      <c r="T207" s="282"/>
      <c r="U207" s="258"/>
      <c r="V207" s="258"/>
      <c r="W207" s="258"/>
      <c r="X207" s="258"/>
      <c r="Y207" s="258"/>
      <c r="Z207" s="258"/>
      <c r="AA207" s="263"/>
      <c r="AB207" s="258"/>
      <c r="AC207" s="263"/>
      <c r="AD207" s="353"/>
      <c r="AE207" s="258"/>
      <c r="AF207" s="258"/>
      <c r="AG207" s="258"/>
      <c r="AH207" s="258"/>
      <c r="AI207" s="258"/>
      <c r="AJ207" s="258"/>
      <c r="AK207" s="258"/>
      <c r="AL207" s="258"/>
      <c r="AM207" s="258"/>
      <c r="AN207" s="258"/>
      <c r="AO207" s="258"/>
      <c r="AP207" s="258"/>
      <c r="AQ207" s="258"/>
      <c r="AR207" s="258"/>
      <c r="AS207" s="263"/>
      <c r="AT207" s="353"/>
      <c r="AU207" s="258"/>
      <c r="AV207" s="263"/>
      <c r="AW207" s="353"/>
      <c r="AX207" s="353"/>
      <c r="AY207" s="266"/>
      <c r="AZ207" s="266"/>
      <c r="BA207" s="266"/>
      <c r="BB207" s="266"/>
    </row>
    <row r="208" spans="1:55" x14ac:dyDescent="0.3">
      <c r="A208" s="222">
        <v>2024</v>
      </c>
      <c r="B208" s="222" t="s">
        <v>35</v>
      </c>
      <c r="C208" s="370" t="s">
        <v>378</v>
      </c>
      <c r="D208" s="194" t="s">
        <v>379</v>
      </c>
      <c r="E208" s="194" t="s">
        <v>115</v>
      </c>
      <c r="F208" s="370" t="s">
        <v>596</v>
      </c>
      <c r="G208" s="343">
        <v>17500000</v>
      </c>
      <c r="H208" s="284" t="s">
        <v>42</v>
      </c>
      <c r="I208" s="211" t="s">
        <v>503</v>
      </c>
      <c r="J208" s="341">
        <v>550</v>
      </c>
      <c r="K208" s="286" t="s">
        <v>42</v>
      </c>
      <c r="L208" s="341" t="s">
        <v>48</v>
      </c>
      <c r="M208" s="374" t="s">
        <v>100</v>
      </c>
      <c r="N208" s="211" t="s">
        <v>35</v>
      </c>
      <c r="O208" s="211">
        <v>20</v>
      </c>
      <c r="P208" s="211"/>
      <c r="Q208" s="255"/>
      <c r="R208" s="255"/>
      <c r="S208" s="370" t="s">
        <v>380</v>
      </c>
      <c r="T208" s="370"/>
      <c r="U208" s="211"/>
      <c r="V208" s="211"/>
      <c r="W208" s="211"/>
      <c r="X208" s="211"/>
      <c r="Y208" s="211"/>
      <c r="Z208" s="211"/>
      <c r="AA208" s="255"/>
      <c r="AB208" s="211"/>
      <c r="AC208" s="255"/>
      <c r="AD208" s="210"/>
      <c r="AE208" s="211"/>
      <c r="AF208" s="211"/>
      <c r="AG208" s="211"/>
      <c r="AH208" s="211"/>
      <c r="AI208" s="211"/>
      <c r="AJ208" s="211"/>
      <c r="AK208" s="211"/>
      <c r="AL208" s="211"/>
      <c r="AM208" s="211"/>
      <c r="AN208" s="211"/>
      <c r="AO208" s="211"/>
      <c r="AP208" s="211"/>
      <c r="AQ208" s="211"/>
      <c r="AR208" s="211"/>
      <c r="AS208" s="255"/>
      <c r="AT208" s="210"/>
      <c r="AU208" s="211"/>
      <c r="AV208" s="255"/>
      <c r="AW208" s="210"/>
      <c r="AX208" s="210"/>
      <c r="AY208" s="266"/>
      <c r="AZ208" s="266"/>
      <c r="BA208" s="266"/>
    </row>
    <row r="209" spans="1:55" x14ac:dyDescent="0.3">
      <c r="A209" s="222">
        <v>2025</v>
      </c>
      <c r="B209" s="222"/>
      <c r="C209" s="282" t="s">
        <v>645</v>
      </c>
      <c r="D209" s="282" t="s">
        <v>42</v>
      </c>
      <c r="E209" s="282" t="s">
        <v>42</v>
      </c>
      <c r="F209" s="370" t="s">
        <v>596</v>
      </c>
      <c r="G209" s="283" t="s">
        <v>42</v>
      </c>
      <c r="H209" s="284" t="s">
        <v>42</v>
      </c>
      <c r="I209" s="258" t="s">
        <v>531</v>
      </c>
      <c r="J209" s="285">
        <v>101</v>
      </c>
      <c r="K209" s="286" t="s">
        <v>42</v>
      </c>
      <c r="L209" s="258" t="s">
        <v>32</v>
      </c>
      <c r="M209" s="250" t="s">
        <v>547</v>
      </c>
      <c r="N209" s="258"/>
      <c r="O209" s="258"/>
      <c r="P209" s="258"/>
      <c r="Q209" s="263"/>
      <c r="R209" s="263"/>
      <c r="S209" s="282" t="s">
        <v>646</v>
      </c>
      <c r="T209" s="282"/>
      <c r="U209" s="258"/>
      <c r="V209" s="258"/>
      <c r="W209" s="258"/>
      <c r="X209" s="258"/>
      <c r="Y209" s="258"/>
      <c r="Z209" s="258"/>
      <c r="AA209" s="263"/>
      <c r="AB209" s="258"/>
      <c r="AC209" s="263"/>
      <c r="AD209" s="353"/>
      <c r="AE209" s="258"/>
      <c r="AF209" s="258"/>
      <c r="AG209" s="258"/>
      <c r="AH209" s="258"/>
      <c r="AI209" s="258"/>
      <c r="AJ209" s="258"/>
      <c r="AK209" s="258"/>
      <c r="AL209" s="258"/>
      <c r="AM209" s="258"/>
      <c r="AN209" s="258"/>
      <c r="AO209" s="258"/>
      <c r="AP209" s="258"/>
      <c r="AQ209" s="258"/>
      <c r="AR209" s="258"/>
      <c r="AS209" s="263"/>
      <c r="AT209" s="353"/>
      <c r="AU209" s="258"/>
      <c r="AV209" s="263"/>
      <c r="AW209" s="353"/>
      <c r="AX209" s="353"/>
      <c r="AY209" s="266"/>
      <c r="AZ209" s="266"/>
      <c r="BA209" s="266"/>
      <c r="BB209" s="266"/>
    </row>
    <row r="210" spans="1:55" x14ac:dyDescent="0.3">
      <c r="A210" s="222">
        <v>2025</v>
      </c>
      <c r="B210" s="222"/>
      <c r="C210" s="282" t="s">
        <v>647</v>
      </c>
      <c r="D210" s="282" t="s">
        <v>648</v>
      </c>
      <c r="E210" s="282" t="s">
        <v>266</v>
      </c>
      <c r="F210" s="370" t="s">
        <v>596</v>
      </c>
      <c r="G210" s="283" t="s">
        <v>42</v>
      </c>
      <c r="H210" s="284" t="s">
        <v>42</v>
      </c>
      <c r="I210" s="258" t="s">
        <v>503</v>
      </c>
      <c r="J210" s="285">
        <f>166+142</f>
        <v>308</v>
      </c>
      <c r="K210" s="286" t="s">
        <v>42</v>
      </c>
      <c r="L210" s="258" t="s">
        <v>32</v>
      </c>
      <c r="M210" s="250" t="s">
        <v>100</v>
      </c>
      <c r="N210" s="258"/>
      <c r="O210" s="258">
        <v>41</v>
      </c>
      <c r="P210" s="258"/>
      <c r="Q210" s="263"/>
      <c r="R210" s="263"/>
      <c r="S210" s="282" t="s">
        <v>649</v>
      </c>
      <c r="T210" s="282"/>
      <c r="U210" s="258"/>
      <c r="V210" s="258"/>
      <c r="W210" s="258"/>
      <c r="X210" s="258"/>
      <c r="Y210" s="258"/>
      <c r="Z210" s="258"/>
      <c r="AA210" s="263"/>
      <c r="AB210" s="258"/>
      <c r="AC210" s="263"/>
      <c r="AD210" s="353"/>
      <c r="AE210" s="258"/>
      <c r="AF210" s="258"/>
      <c r="AG210" s="258"/>
      <c r="AH210" s="258"/>
      <c r="AI210" s="258"/>
      <c r="AJ210" s="258"/>
      <c r="AK210" s="258"/>
      <c r="AL210" s="258"/>
      <c r="AM210" s="258"/>
      <c r="AN210" s="258"/>
      <c r="AO210" s="258"/>
      <c r="AP210" s="258"/>
      <c r="AQ210" s="258"/>
      <c r="AR210" s="258"/>
      <c r="AS210" s="263"/>
      <c r="AT210" s="353"/>
      <c r="AU210" s="258"/>
      <c r="AV210" s="263"/>
      <c r="AW210" s="353"/>
      <c r="AX210" s="353"/>
      <c r="AY210" s="266"/>
      <c r="AZ210" s="266"/>
      <c r="BA210" s="266"/>
      <c r="BB210" s="266"/>
    </row>
    <row r="211" spans="1:55" x14ac:dyDescent="0.3">
      <c r="A211" s="222">
        <v>2025</v>
      </c>
      <c r="B211" s="222"/>
      <c r="C211" s="282" t="s">
        <v>650</v>
      </c>
      <c r="D211" s="282" t="s">
        <v>651</v>
      </c>
      <c r="E211" s="282" t="s">
        <v>75</v>
      </c>
      <c r="F211" s="370" t="s">
        <v>596</v>
      </c>
      <c r="G211" s="283" t="s">
        <v>42</v>
      </c>
      <c r="H211" s="284" t="s">
        <v>42</v>
      </c>
      <c r="I211" s="258" t="s">
        <v>503</v>
      </c>
      <c r="J211" s="285">
        <f>165+90</f>
        <v>255</v>
      </c>
      <c r="K211" s="286" t="s">
        <v>42</v>
      </c>
      <c r="L211" s="258" t="s">
        <v>32</v>
      </c>
      <c r="M211" s="250" t="s">
        <v>100</v>
      </c>
      <c r="N211" s="258"/>
      <c r="O211" s="258">
        <v>7</v>
      </c>
      <c r="P211" s="258"/>
      <c r="Q211" s="263"/>
      <c r="R211" s="263"/>
      <c r="S211" s="282" t="s">
        <v>652</v>
      </c>
      <c r="T211" s="282"/>
      <c r="U211" s="258"/>
      <c r="V211" s="258"/>
      <c r="W211" s="258"/>
      <c r="X211" s="258"/>
      <c r="Y211" s="258"/>
      <c r="Z211" s="258"/>
      <c r="AA211" s="263"/>
      <c r="AB211" s="258"/>
      <c r="AC211" s="263"/>
      <c r="AD211" s="353"/>
      <c r="AE211" s="258"/>
      <c r="AF211" s="258"/>
      <c r="AG211" s="258"/>
      <c r="AH211" s="258"/>
      <c r="AI211" s="258"/>
      <c r="AJ211" s="258"/>
      <c r="AK211" s="258"/>
      <c r="AL211" s="258"/>
      <c r="AM211" s="258"/>
      <c r="AN211" s="258"/>
      <c r="AO211" s="258"/>
      <c r="AP211" s="258"/>
      <c r="AQ211" s="258"/>
      <c r="AR211" s="258"/>
      <c r="AS211" s="263"/>
      <c r="AT211" s="353"/>
      <c r="AU211" s="258"/>
      <c r="AV211" s="263"/>
      <c r="AW211" s="353"/>
      <c r="AX211" s="353"/>
      <c r="AY211" s="266"/>
      <c r="AZ211" s="266"/>
      <c r="BA211" s="266"/>
      <c r="BB211" s="266"/>
    </row>
    <row r="212" spans="1:55" x14ac:dyDescent="0.3">
      <c r="A212" s="222">
        <v>2025</v>
      </c>
      <c r="B212" s="222"/>
      <c r="C212" s="282" t="s">
        <v>653</v>
      </c>
      <c r="D212" s="282" t="s">
        <v>654</v>
      </c>
      <c r="E212" s="282" t="s">
        <v>57</v>
      </c>
      <c r="F212" s="370" t="s">
        <v>596</v>
      </c>
      <c r="G212" s="283" t="s">
        <v>42</v>
      </c>
      <c r="H212" s="284" t="s">
        <v>42</v>
      </c>
      <c r="I212" s="258" t="s">
        <v>531</v>
      </c>
      <c r="J212" s="285">
        <v>30</v>
      </c>
      <c r="K212" s="286" t="s">
        <v>42</v>
      </c>
      <c r="L212" s="258" t="s">
        <v>32</v>
      </c>
      <c r="M212" s="250" t="s">
        <v>547</v>
      </c>
      <c r="N212" s="211" t="str">
        <f>IF(L212="Broker","","Yes")</f>
        <v/>
      </c>
      <c r="O212" s="258">
        <v>7</v>
      </c>
      <c r="P212" s="258"/>
      <c r="Q212" s="263"/>
      <c r="R212" s="263"/>
      <c r="S212" s="282" t="s">
        <v>655</v>
      </c>
      <c r="T212" s="282"/>
      <c r="U212" s="258"/>
      <c r="V212" s="258"/>
      <c r="W212" s="258"/>
      <c r="X212" s="258"/>
      <c r="Y212" s="258"/>
      <c r="Z212" s="258"/>
      <c r="AA212" s="263"/>
      <c r="AB212" s="258"/>
      <c r="AC212" s="263"/>
      <c r="AD212" s="353"/>
      <c r="AE212" s="258"/>
      <c r="AF212" s="258"/>
      <c r="AG212" s="258"/>
      <c r="AH212" s="258"/>
      <c r="AI212" s="258"/>
      <c r="AJ212" s="258"/>
      <c r="AK212" s="258"/>
      <c r="AL212" s="258"/>
      <c r="AM212" s="258"/>
      <c r="AN212" s="258"/>
      <c r="AO212" s="258"/>
      <c r="AP212" s="258"/>
      <c r="AQ212" s="258"/>
      <c r="AR212" s="258"/>
      <c r="AS212" s="263"/>
      <c r="AT212" s="353"/>
      <c r="AU212" s="258"/>
      <c r="AV212" s="263"/>
      <c r="AW212" s="353"/>
      <c r="AX212" s="353"/>
      <c r="AY212" s="266"/>
      <c r="AZ212" s="266"/>
      <c r="BA212" s="266"/>
      <c r="BB212" s="266"/>
    </row>
    <row r="213" spans="1:55" s="266" customFormat="1" x14ac:dyDescent="0.3">
      <c r="A213" s="222">
        <v>2025</v>
      </c>
      <c r="B213" s="222" t="s">
        <v>35</v>
      </c>
      <c r="C213" s="247" t="s">
        <v>656</v>
      </c>
      <c r="D213" s="247" t="s">
        <v>77</v>
      </c>
      <c r="E213" s="247" t="s">
        <v>31</v>
      </c>
      <c r="F213" s="370" t="s">
        <v>596</v>
      </c>
      <c r="G213" s="248" t="s">
        <v>42</v>
      </c>
      <c r="H213" s="249" t="s">
        <v>42</v>
      </c>
      <c r="I213" s="258" t="s">
        <v>531</v>
      </c>
      <c r="J213" s="251">
        <v>90</v>
      </c>
      <c r="K213" s="252">
        <v>0</v>
      </c>
      <c r="L213" s="250" t="s">
        <v>48</v>
      </c>
      <c r="M213" s="250" t="s">
        <v>100</v>
      </c>
      <c r="N213" s="211" t="str">
        <f>IF(L213="Broker","","Yes")</f>
        <v>Yes</v>
      </c>
      <c r="O213" s="253">
        <v>4.59</v>
      </c>
      <c r="P213" s="250"/>
      <c r="Q213" s="254"/>
      <c r="R213" s="254"/>
      <c r="S213" s="247" t="s">
        <v>657</v>
      </c>
      <c r="T213" s="247"/>
      <c r="U213" s="250"/>
      <c r="V213" s="250"/>
      <c r="W213" s="250"/>
      <c r="X213" s="250"/>
      <c r="Y213" s="250"/>
      <c r="Z213" s="250"/>
      <c r="AA213" s="254"/>
      <c r="AB213" s="250"/>
      <c r="AC213" s="254"/>
      <c r="AD213" s="358"/>
      <c r="AE213" s="258"/>
      <c r="AF213" s="258"/>
      <c r="AG213" s="258"/>
      <c r="AH213" s="258"/>
      <c r="AI213" s="258"/>
      <c r="AJ213" s="258"/>
      <c r="AK213" s="258"/>
      <c r="AL213" s="258"/>
      <c r="AM213" s="258"/>
      <c r="AN213" s="258"/>
      <c r="AO213" s="258"/>
      <c r="AP213" s="258"/>
      <c r="AQ213" s="250"/>
      <c r="AR213" s="250"/>
      <c r="AS213" s="263" t="str">
        <f>IF(W213="","TBD",W213+AR213)</f>
        <v>TBD</v>
      </c>
      <c r="AT213" s="358"/>
      <c r="AU213" s="250"/>
      <c r="AV213" s="254" t="str">
        <f>IF(AA213="","TBD",AA213+AU213)</f>
        <v>TBD</v>
      </c>
      <c r="AW213" s="358"/>
      <c r="AX213" s="358"/>
    </row>
    <row r="214" spans="1:55" x14ac:dyDescent="0.3">
      <c r="A214" s="222">
        <v>2025</v>
      </c>
      <c r="B214" s="222" t="s">
        <v>35</v>
      </c>
      <c r="C214" s="282" t="s">
        <v>658</v>
      </c>
      <c r="D214" s="282" t="s">
        <v>659</v>
      </c>
      <c r="E214" s="282" t="s">
        <v>75</v>
      </c>
      <c r="F214" s="370" t="s">
        <v>596</v>
      </c>
      <c r="G214" s="283">
        <v>24999000</v>
      </c>
      <c r="H214" s="284" t="s">
        <v>42</v>
      </c>
      <c r="I214" s="258" t="s">
        <v>503</v>
      </c>
      <c r="J214" s="285">
        <v>30</v>
      </c>
      <c r="K214" s="286" t="s">
        <v>42</v>
      </c>
      <c r="L214" s="258" t="s">
        <v>32</v>
      </c>
      <c r="M214" s="250" t="s">
        <v>100</v>
      </c>
      <c r="N214" s="258"/>
      <c r="O214" s="258"/>
      <c r="P214" s="258"/>
      <c r="Q214" s="263"/>
      <c r="R214" s="263"/>
      <c r="S214" s="282" t="s">
        <v>660</v>
      </c>
      <c r="T214" s="282"/>
      <c r="U214" s="258"/>
      <c r="V214" s="258"/>
      <c r="W214" s="258"/>
      <c r="X214" s="258"/>
      <c r="Y214" s="258"/>
      <c r="Z214" s="258"/>
      <c r="AA214" s="263"/>
      <c r="AB214" s="258"/>
      <c r="AC214" s="263"/>
      <c r="AD214" s="353"/>
      <c r="AE214" s="258"/>
      <c r="AF214" s="258"/>
      <c r="AG214" s="258"/>
      <c r="AH214" s="258"/>
      <c r="AI214" s="258"/>
      <c r="AJ214" s="258"/>
      <c r="AK214" s="258"/>
      <c r="AL214" s="258"/>
      <c r="AM214" s="258"/>
      <c r="AN214" s="258"/>
      <c r="AO214" s="258"/>
      <c r="AP214" s="258"/>
      <c r="AQ214" s="258"/>
      <c r="AR214" s="258"/>
      <c r="AS214" s="263"/>
      <c r="AT214" s="353"/>
      <c r="AU214" s="258"/>
      <c r="AV214" s="263"/>
      <c r="AW214" s="353"/>
      <c r="AX214" s="353"/>
      <c r="AY214" s="266"/>
      <c r="AZ214" s="266"/>
      <c r="BA214" s="266"/>
      <c r="BB214" s="266"/>
    </row>
    <row r="215" spans="1:55" x14ac:dyDescent="0.3">
      <c r="A215" s="222">
        <v>2025</v>
      </c>
      <c r="B215" s="222" t="s">
        <v>35</v>
      </c>
      <c r="C215" s="282" t="s">
        <v>661</v>
      </c>
      <c r="D215" s="282" t="s">
        <v>331</v>
      </c>
      <c r="E215" s="282" t="s">
        <v>31</v>
      </c>
      <c r="F215" s="370" t="s">
        <v>596</v>
      </c>
      <c r="G215" s="283">
        <v>30000000</v>
      </c>
      <c r="H215" s="284">
        <v>0.23599999999999999</v>
      </c>
      <c r="I215" s="258" t="s">
        <v>556</v>
      </c>
      <c r="J215" s="285">
        <f>67+222</f>
        <v>289</v>
      </c>
      <c r="K215" s="286" t="s">
        <v>42</v>
      </c>
      <c r="L215" s="258" t="s">
        <v>32</v>
      </c>
      <c r="M215" s="250" t="s">
        <v>100</v>
      </c>
      <c r="N215" s="211" t="str">
        <f>IF(L215="Broker","","Yes")</f>
        <v/>
      </c>
      <c r="O215" s="258">
        <v>20.2</v>
      </c>
      <c r="P215" s="258"/>
      <c r="Q215" s="263"/>
      <c r="R215" s="263"/>
      <c r="S215" s="282" t="s">
        <v>662</v>
      </c>
      <c r="T215" s="282"/>
      <c r="U215" s="258"/>
      <c r="V215" s="258"/>
      <c r="W215" s="258"/>
      <c r="X215" s="258"/>
      <c r="Y215" s="258"/>
      <c r="Z215" s="258"/>
      <c r="AA215" s="263"/>
      <c r="AB215" s="258"/>
      <c r="AC215" s="263"/>
      <c r="AD215" s="353"/>
      <c r="AE215" s="258"/>
      <c r="AF215" s="258"/>
      <c r="AG215" s="258"/>
      <c r="AH215" s="258"/>
      <c r="AI215" s="258"/>
      <c r="AJ215" s="258"/>
      <c r="AK215" s="258"/>
      <c r="AL215" s="258"/>
      <c r="AM215" s="258"/>
      <c r="AN215" s="258"/>
      <c r="AO215" s="258"/>
      <c r="AP215" s="258"/>
      <c r="AQ215" s="258"/>
      <c r="AR215" s="258"/>
      <c r="AS215" s="263"/>
      <c r="AT215" s="353"/>
      <c r="AU215" s="258"/>
      <c r="AV215" s="263"/>
      <c r="AW215" s="353"/>
      <c r="AX215" s="353"/>
      <c r="AY215" s="266"/>
      <c r="AZ215" s="266"/>
      <c r="BA215" s="266"/>
      <c r="BB215" s="266"/>
    </row>
    <row r="216" spans="1:55" x14ac:dyDescent="0.3">
      <c r="A216" s="222">
        <v>2025</v>
      </c>
      <c r="B216" s="222"/>
      <c r="C216" s="247" t="s">
        <v>663</v>
      </c>
      <c r="D216" s="247" t="s">
        <v>664</v>
      </c>
      <c r="E216" s="247" t="s">
        <v>75</v>
      </c>
      <c r="F216" s="370" t="s">
        <v>596</v>
      </c>
      <c r="G216" s="248">
        <v>14000000</v>
      </c>
      <c r="H216" s="249" t="s">
        <v>42</v>
      </c>
      <c r="I216" s="250" t="s">
        <v>503</v>
      </c>
      <c r="J216" s="251">
        <v>220</v>
      </c>
      <c r="K216" s="252" t="s">
        <v>42</v>
      </c>
      <c r="L216" s="250" t="s">
        <v>32</v>
      </c>
      <c r="M216" s="250" t="s">
        <v>100</v>
      </c>
      <c r="N216" s="258"/>
      <c r="O216" s="253">
        <v>10</v>
      </c>
      <c r="P216" s="250"/>
      <c r="Q216" s="254"/>
      <c r="R216" s="254"/>
      <c r="S216" s="247" t="s">
        <v>665</v>
      </c>
      <c r="T216" s="247"/>
      <c r="U216" s="258"/>
      <c r="V216" s="258"/>
      <c r="W216" s="258"/>
      <c r="X216" s="258"/>
      <c r="Y216" s="258"/>
      <c r="Z216" s="258"/>
      <c r="AA216" s="263"/>
      <c r="AB216" s="258"/>
      <c r="AC216" s="263"/>
      <c r="AD216" s="353"/>
      <c r="AE216" s="258"/>
      <c r="AF216" s="258"/>
      <c r="AG216" s="258"/>
      <c r="AH216" s="258"/>
      <c r="AI216" s="258"/>
      <c r="AJ216" s="258"/>
      <c r="AK216" s="258"/>
      <c r="AL216" s="258"/>
      <c r="AM216" s="258"/>
      <c r="AN216" s="258"/>
      <c r="AO216" s="258"/>
      <c r="AP216" s="258"/>
      <c r="AQ216" s="205"/>
      <c r="AR216" s="205"/>
      <c r="AS216" s="263"/>
      <c r="AT216" s="353"/>
      <c r="AU216" s="205"/>
      <c r="AV216" s="263"/>
      <c r="AW216" s="353"/>
      <c r="AX216" s="353"/>
      <c r="AY216" s="266"/>
      <c r="AZ216" s="266"/>
      <c r="BA216" s="266"/>
      <c r="BB216" s="266"/>
      <c r="BC216" s="266"/>
    </row>
    <row r="217" spans="1:55" x14ac:dyDescent="0.3">
      <c r="A217" s="222">
        <v>2025</v>
      </c>
      <c r="B217" s="222" t="s">
        <v>35</v>
      </c>
      <c r="C217" s="247" t="s">
        <v>666</v>
      </c>
      <c r="D217" s="247" t="s">
        <v>667</v>
      </c>
      <c r="E217" s="247" t="s">
        <v>262</v>
      </c>
      <c r="F217" s="370" t="s">
        <v>596</v>
      </c>
      <c r="G217" s="248">
        <v>7500000</v>
      </c>
      <c r="H217" s="249">
        <v>0.25700000000000001</v>
      </c>
      <c r="I217" s="250" t="s">
        <v>556</v>
      </c>
      <c r="J217" s="251">
        <v>220</v>
      </c>
      <c r="K217" s="252" t="s">
        <v>42</v>
      </c>
      <c r="L217" s="250" t="s">
        <v>32</v>
      </c>
      <c r="M217" s="250" t="s">
        <v>547</v>
      </c>
      <c r="N217" s="258"/>
      <c r="O217" s="253"/>
      <c r="P217" s="250"/>
      <c r="Q217" s="254"/>
      <c r="R217" s="254"/>
      <c r="S217" s="247" t="s">
        <v>668</v>
      </c>
      <c r="T217" s="247"/>
      <c r="U217" s="258"/>
      <c r="V217" s="258"/>
      <c r="W217" s="258"/>
      <c r="X217" s="258"/>
      <c r="Y217" s="258"/>
      <c r="Z217" s="258"/>
      <c r="AA217" s="263"/>
      <c r="AB217" s="258"/>
      <c r="AC217" s="263"/>
      <c r="AD217" s="353"/>
      <c r="AE217" s="258"/>
      <c r="AF217" s="258"/>
      <c r="AG217" s="258"/>
      <c r="AH217" s="258"/>
      <c r="AI217" s="258"/>
      <c r="AJ217" s="258"/>
      <c r="AK217" s="258"/>
      <c r="AL217" s="258"/>
      <c r="AM217" s="258"/>
      <c r="AN217" s="258"/>
      <c r="AO217" s="258"/>
      <c r="AP217" s="258"/>
      <c r="AQ217" s="205"/>
      <c r="AR217" s="205"/>
      <c r="AS217" s="263"/>
      <c r="AT217" s="353"/>
      <c r="AU217" s="205"/>
      <c r="AV217" s="263"/>
      <c r="AW217" s="353"/>
      <c r="AX217" s="353"/>
      <c r="AY217" s="266"/>
      <c r="AZ217" s="266"/>
      <c r="BA217" s="266"/>
      <c r="BB217" s="266"/>
      <c r="BC217" s="266"/>
    </row>
    <row r="218" spans="1:55" x14ac:dyDescent="0.3">
      <c r="A218" s="222">
        <v>2024</v>
      </c>
      <c r="B218" s="222" t="s">
        <v>35</v>
      </c>
      <c r="C218" s="247" t="s">
        <v>669</v>
      </c>
      <c r="D218" s="247" t="s">
        <v>670</v>
      </c>
      <c r="E218" s="247" t="s">
        <v>94</v>
      </c>
      <c r="F218" s="370" t="s">
        <v>235</v>
      </c>
      <c r="G218" s="248">
        <v>62550000</v>
      </c>
      <c r="H218" s="249">
        <v>0.189</v>
      </c>
      <c r="I218" s="250" t="s">
        <v>503</v>
      </c>
      <c r="J218" s="357">
        <f>536+85</f>
        <v>621</v>
      </c>
      <c r="K218" s="252" t="s">
        <v>671</v>
      </c>
      <c r="L218" s="250" t="s">
        <v>48</v>
      </c>
      <c r="M218" s="250" t="s">
        <v>100</v>
      </c>
      <c r="N218" s="211" t="str">
        <f>IF(L218="Broker","","Yes")</f>
        <v>Yes</v>
      </c>
      <c r="O218" s="253">
        <v>55.16</v>
      </c>
      <c r="P218" s="250">
        <v>2025</v>
      </c>
      <c r="Q218" s="254">
        <v>45632</v>
      </c>
      <c r="R218" s="254"/>
      <c r="S218" s="282" t="s">
        <v>505</v>
      </c>
      <c r="T218" s="282"/>
      <c r="U218" s="258"/>
      <c r="V218" s="258" t="s">
        <v>513</v>
      </c>
      <c r="W218" s="258"/>
      <c r="X218" s="263"/>
      <c r="Y218" s="258">
        <v>75</v>
      </c>
      <c r="Z218" s="258">
        <v>0</v>
      </c>
      <c r="AA218" s="256" t="str">
        <f>IF(X218="","",IF(Z218=OR(0,""),Y218+X218,X218+Y218+Z218))</f>
        <v/>
      </c>
      <c r="AB218" s="258">
        <v>15</v>
      </c>
      <c r="AC218" s="256" t="str">
        <f>IF(AA218="","",AB218+AA218)</f>
        <v/>
      </c>
      <c r="AD218" s="258" t="str">
        <f>IF(R218="","",$A$1-R218)</f>
        <v/>
      </c>
      <c r="AE218" s="258"/>
      <c r="AF218" s="258"/>
      <c r="AG218" s="278"/>
      <c r="AH218" s="260"/>
      <c r="AI218" s="258"/>
      <c r="AJ218" s="278"/>
      <c r="AK218" s="260"/>
      <c r="AL218" s="258"/>
      <c r="AM218" s="278"/>
      <c r="AN218" s="260" t="s">
        <v>509</v>
      </c>
      <c r="AO218" s="258"/>
      <c r="AP218" s="258"/>
      <c r="AQ218" s="258" t="s">
        <v>510</v>
      </c>
      <c r="AR218" s="258">
        <v>2</v>
      </c>
      <c r="AS218" s="263" t="str">
        <f>IF(W218="","TBD",W218+AR218)</f>
        <v>TBD</v>
      </c>
      <c r="AT218" s="353">
        <v>250000</v>
      </c>
      <c r="AU218" s="258" t="s">
        <v>454</v>
      </c>
      <c r="AV218" s="263" t="str">
        <f>IF(AA218="","TBD",AA218+AU218)</f>
        <v>TBD</v>
      </c>
      <c r="AW218" s="322">
        <v>1000000</v>
      </c>
      <c r="AX218" s="403">
        <f>SUM(AW218,AT218)</f>
        <v>1250000</v>
      </c>
    </row>
    <row r="219" spans="1:55" x14ac:dyDescent="0.3">
      <c r="A219" s="222">
        <v>2025</v>
      </c>
      <c r="B219" s="222" t="s">
        <v>35</v>
      </c>
      <c r="C219" s="282" t="s">
        <v>362</v>
      </c>
      <c r="D219" s="282" t="s">
        <v>672</v>
      </c>
      <c r="E219" s="282" t="s">
        <v>68</v>
      </c>
      <c r="F219" s="370" t="s">
        <v>596</v>
      </c>
      <c r="G219" s="283" t="s">
        <v>42</v>
      </c>
      <c r="H219" s="284" t="s">
        <v>42</v>
      </c>
      <c r="I219" s="258" t="s">
        <v>556</v>
      </c>
      <c r="J219" s="285">
        <v>196</v>
      </c>
      <c r="K219" s="286" t="s">
        <v>42</v>
      </c>
      <c r="L219" s="258" t="s">
        <v>32</v>
      </c>
      <c r="M219" s="250" t="s">
        <v>547</v>
      </c>
      <c r="N219" s="258"/>
      <c r="O219" s="258">
        <v>183.7</v>
      </c>
      <c r="P219" s="258"/>
      <c r="Q219" s="263"/>
      <c r="R219" s="263"/>
      <c r="S219" s="282" t="s">
        <v>673</v>
      </c>
      <c r="T219" s="282"/>
      <c r="U219" s="258"/>
      <c r="V219" s="258"/>
      <c r="W219" s="258"/>
      <c r="X219" s="258"/>
      <c r="Y219" s="258"/>
      <c r="Z219" s="258"/>
      <c r="AA219" s="263"/>
      <c r="AB219" s="258"/>
      <c r="AC219" s="263"/>
      <c r="AD219" s="353"/>
      <c r="AE219" s="258"/>
      <c r="AF219" s="258"/>
      <c r="AG219" s="258"/>
      <c r="AH219" s="258"/>
      <c r="AI219" s="258"/>
      <c r="AJ219" s="258"/>
      <c r="AK219" s="258"/>
      <c r="AL219" s="258"/>
      <c r="AM219" s="258"/>
      <c r="AN219" s="258"/>
      <c r="AO219" s="258"/>
      <c r="AP219" s="258"/>
      <c r="AQ219" s="258"/>
      <c r="AR219" s="258"/>
      <c r="AS219" s="263"/>
      <c r="AT219" s="353"/>
      <c r="AU219" s="258"/>
      <c r="AV219" s="263"/>
      <c r="AW219" s="353"/>
      <c r="AX219" s="353"/>
      <c r="AY219" s="266"/>
      <c r="AZ219" s="266"/>
      <c r="BA219" s="266"/>
      <c r="BB219" s="266"/>
    </row>
    <row r="220" spans="1:55" x14ac:dyDescent="0.3">
      <c r="A220" s="222">
        <v>2025</v>
      </c>
      <c r="B220" s="222" t="s">
        <v>35</v>
      </c>
      <c r="C220" s="247" t="s">
        <v>674</v>
      </c>
      <c r="D220" s="247" t="s">
        <v>675</v>
      </c>
      <c r="E220" s="247" t="s">
        <v>325</v>
      </c>
      <c r="F220" s="370" t="s">
        <v>596</v>
      </c>
      <c r="G220" s="248">
        <v>5500000</v>
      </c>
      <c r="H220" s="249">
        <v>0.35899999999999999</v>
      </c>
      <c r="I220" s="250" t="s">
        <v>503</v>
      </c>
      <c r="J220" s="251">
        <v>277</v>
      </c>
      <c r="K220" s="252" t="s">
        <v>42</v>
      </c>
      <c r="L220" s="250" t="s">
        <v>32</v>
      </c>
      <c r="M220" s="250" t="s">
        <v>100</v>
      </c>
      <c r="N220" s="258"/>
      <c r="O220" s="253"/>
      <c r="P220" s="250"/>
      <c r="Q220" s="254"/>
      <c r="R220" s="254"/>
      <c r="S220" s="247"/>
      <c r="T220" s="247"/>
      <c r="U220" s="258"/>
      <c r="V220" s="258"/>
      <c r="W220" s="258"/>
      <c r="X220" s="258"/>
      <c r="Y220" s="258"/>
      <c r="Z220" s="258"/>
      <c r="AA220" s="263"/>
      <c r="AB220" s="258"/>
      <c r="AC220" s="263"/>
      <c r="AD220" s="353"/>
      <c r="AE220" s="258"/>
      <c r="AF220" s="258"/>
      <c r="AG220" s="258"/>
      <c r="AH220" s="258"/>
      <c r="AI220" s="258"/>
      <c r="AJ220" s="258"/>
      <c r="AK220" s="258"/>
      <c r="AL220" s="258"/>
      <c r="AM220" s="258"/>
      <c r="AN220" s="258"/>
      <c r="AO220" s="258"/>
      <c r="AP220" s="258"/>
      <c r="AQ220" s="205"/>
      <c r="AR220" s="205"/>
      <c r="AS220" s="263"/>
      <c r="AT220" s="353"/>
      <c r="AU220" s="205"/>
      <c r="AV220" s="263"/>
      <c r="AW220" s="353"/>
      <c r="AX220" s="353"/>
      <c r="AY220" s="266"/>
      <c r="AZ220" s="266"/>
      <c r="BA220" s="266"/>
      <c r="BB220" s="266"/>
      <c r="BC220" s="266"/>
    </row>
    <row r="221" spans="1:55" x14ac:dyDescent="0.3">
      <c r="A221" s="222">
        <v>2023</v>
      </c>
      <c r="B221" s="222" t="s">
        <v>35</v>
      </c>
      <c r="C221" s="247" t="s">
        <v>676</v>
      </c>
      <c r="D221" s="247" t="s">
        <v>677</v>
      </c>
      <c r="E221" s="247" t="s">
        <v>31</v>
      </c>
      <c r="F221" s="247" t="s">
        <v>678</v>
      </c>
      <c r="G221" s="248">
        <v>19000000</v>
      </c>
      <c r="H221" s="249">
        <v>0.249</v>
      </c>
      <c r="I221" s="250" t="s">
        <v>503</v>
      </c>
      <c r="J221" s="251">
        <v>270</v>
      </c>
      <c r="K221" s="252">
        <v>0.95</v>
      </c>
      <c r="L221" s="250" t="s">
        <v>32</v>
      </c>
      <c r="M221" s="250" t="s">
        <v>100</v>
      </c>
      <c r="N221" s="211"/>
      <c r="O221" s="253">
        <f>3.74+0.46</f>
        <v>4.2</v>
      </c>
      <c r="P221" s="250">
        <v>2025</v>
      </c>
      <c r="Q221" s="254">
        <v>45714</v>
      </c>
      <c r="R221" s="254">
        <v>45771</v>
      </c>
      <c r="S221" s="282" t="s">
        <v>505</v>
      </c>
      <c r="T221" s="282"/>
      <c r="U221" s="263">
        <v>45772</v>
      </c>
      <c r="V221" s="258" t="s">
        <v>506</v>
      </c>
      <c r="W221" s="263">
        <v>45847</v>
      </c>
      <c r="X221" s="263">
        <v>45847</v>
      </c>
      <c r="Y221" s="258">
        <v>75</v>
      </c>
      <c r="Z221" s="258">
        <v>0</v>
      </c>
      <c r="AA221" s="404">
        <f>IF(X221="","",IF(Z221=OR(0,""),Y221+X221,X221+Y221+Z221))</f>
        <v>45922</v>
      </c>
      <c r="AB221" s="258">
        <v>15</v>
      </c>
      <c r="AC221" s="404">
        <f>IF(AA221="","",AB221+AA221)</f>
        <v>45937</v>
      </c>
      <c r="AD221" s="258">
        <f>IF(R221="","",$A$1-R221)</f>
        <v>347</v>
      </c>
      <c r="AE221" s="258" t="s">
        <v>679</v>
      </c>
      <c r="AF221" s="258"/>
      <c r="AG221" s="278"/>
      <c r="AH221" s="260" t="s">
        <v>679</v>
      </c>
      <c r="AI221" s="258"/>
      <c r="AJ221" s="278"/>
      <c r="AK221" s="260" t="s">
        <v>680</v>
      </c>
      <c r="AL221" s="258"/>
      <c r="AM221" s="278"/>
      <c r="AN221" s="405" t="s">
        <v>509</v>
      </c>
      <c r="AO221" s="406">
        <v>45853</v>
      </c>
      <c r="AP221" s="406">
        <v>45859</v>
      </c>
      <c r="AQ221" s="258" t="s">
        <v>510</v>
      </c>
      <c r="AR221" s="407">
        <v>3</v>
      </c>
      <c r="AS221" s="406">
        <f>IF(W221="","TBD",W221+AR221)</f>
        <v>45850</v>
      </c>
      <c r="AT221" s="408">
        <v>350000</v>
      </c>
      <c r="AU221" s="258">
        <v>3</v>
      </c>
      <c r="AV221" s="263">
        <f>IF(AA221="","TBD",AA221+AU221)</f>
        <v>45925</v>
      </c>
      <c r="AW221" s="322">
        <v>1000000</v>
      </c>
      <c r="AX221" s="403">
        <f>SUM(AW221,AT221)</f>
        <v>1350000</v>
      </c>
    </row>
    <row r="222" spans="1:55" x14ac:dyDescent="0.3">
      <c r="A222" s="222">
        <v>2025</v>
      </c>
      <c r="B222" s="222" t="s">
        <v>35</v>
      </c>
      <c r="C222" s="247" t="s">
        <v>681</v>
      </c>
      <c r="D222" s="247" t="s">
        <v>682</v>
      </c>
      <c r="E222" s="247" t="s">
        <v>57</v>
      </c>
      <c r="F222" s="370" t="s">
        <v>596</v>
      </c>
      <c r="G222" s="248">
        <v>30000000</v>
      </c>
      <c r="H222" s="249" t="s">
        <v>42</v>
      </c>
      <c r="I222" s="250" t="s">
        <v>503</v>
      </c>
      <c r="J222" s="251">
        <v>387</v>
      </c>
      <c r="K222" s="252">
        <v>1</v>
      </c>
      <c r="L222" s="250" t="s">
        <v>32</v>
      </c>
      <c r="M222" s="250" t="s">
        <v>504</v>
      </c>
      <c r="N222" s="258" t="s">
        <v>35</v>
      </c>
      <c r="O222" s="253"/>
      <c r="P222" s="250"/>
      <c r="Q222" s="254"/>
      <c r="R222" s="254"/>
      <c r="S222" s="247" t="s">
        <v>683</v>
      </c>
      <c r="T222" s="247"/>
      <c r="U222" s="258"/>
      <c r="V222" s="258"/>
      <c r="W222" s="258"/>
      <c r="X222" s="258"/>
      <c r="Y222" s="258"/>
      <c r="Z222" s="258"/>
      <c r="AA222" s="263"/>
      <c r="AB222" s="258"/>
      <c r="AC222" s="263"/>
      <c r="AD222" s="353"/>
      <c r="AE222" s="258"/>
      <c r="AF222" s="258"/>
      <c r="AG222" s="258"/>
      <c r="AH222" s="258"/>
      <c r="AI222" s="258"/>
      <c r="AJ222" s="258"/>
      <c r="AK222" s="258"/>
      <c r="AL222" s="258"/>
      <c r="AM222" s="258"/>
      <c r="AN222" s="258"/>
      <c r="AO222" s="258"/>
      <c r="AP222" s="258"/>
      <c r="AQ222" s="205"/>
      <c r="AR222" s="205"/>
      <c r="AS222" s="263"/>
      <c r="AT222" s="353"/>
      <c r="AU222" s="205"/>
      <c r="AV222" s="263"/>
      <c r="AW222" s="353"/>
      <c r="AX222" s="353"/>
      <c r="AY222" s="266"/>
      <c r="AZ222" s="266"/>
      <c r="BA222" s="266"/>
      <c r="BB222" s="266"/>
      <c r="BC222" s="266"/>
    </row>
    <row r="223" spans="1:55" x14ac:dyDescent="0.3">
      <c r="A223" s="222">
        <v>2025</v>
      </c>
      <c r="B223" s="222" t="s">
        <v>35</v>
      </c>
      <c r="C223" s="247" t="s">
        <v>684</v>
      </c>
      <c r="D223" s="247" t="s">
        <v>685</v>
      </c>
      <c r="E223" s="247" t="s">
        <v>252</v>
      </c>
      <c r="F223" s="370" t="s">
        <v>596</v>
      </c>
      <c r="G223" s="283">
        <v>6000000</v>
      </c>
      <c r="H223" s="284">
        <v>0.249</v>
      </c>
      <c r="I223" s="250" t="s">
        <v>503</v>
      </c>
      <c r="J223" s="251">
        <v>83</v>
      </c>
      <c r="K223" s="252">
        <v>0.95</v>
      </c>
      <c r="L223" s="250" t="s">
        <v>48</v>
      </c>
      <c r="M223" s="250" t="s">
        <v>100</v>
      </c>
      <c r="N223" s="258"/>
      <c r="O223" s="253"/>
      <c r="P223" s="250"/>
      <c r="Q223" s="254"/>
      <c r="R223" s="254"/>
      <c r="S223" s="247" t="s">
        <v>686</v>
      </c>
      <c r="T223" s="247"/>
      <c r="U223" s="258"/>
      <c r="V223" s="258"/>
      <c r="W223" s="258"/>
      <c r="X223" s="258"/>
      <c r="Y223" s="258"/>
      <c r="Z223" s="258"/>
      <c r="AA223" s="263"/>
      <c r="AB223" s="258"/>
      <c r="AC223" s="263"/>
      <c r="AD223" s="353"/>
      <c r="AE223" s="258"/>
      <c r="AF223" s="258"/>
      <c r="AG223" s="258"/>
      <c r="AH223" s="258"/>
      <c r="AI223" s="258"/>
      <c r="AJ223" s="258"/>
      <c r="AK223" s="258"/>
      <c r="AL223" s="258"/>
      <c r="AM223" s="258"/>
      <c r="AN223" s="258"/>
      <c r="AO223" s="258"/>
      <c r="AP223" s="258"/>
      <c r="AQ223" s="205"/>
      <c r="AR223" s="205"/>
      <c r="AS223" s="263"/>
      <c r="AT223" s="353"/>
      <c r="AU223" s="205"/>
      <c r="AV223" s="263"/>
      <c r="AW223" s="353"/>
      <c r="AX223" s="353"/>
      <c r="AY223" s="266"/>
      <c r="AZ223" s="266"/>
      <c r="BA223" s="266"/>
      <c r="BB223" s="266"/>
      <c r="BC223" s="266"/>
    </row>
    <row r="224" spans="1:55" x14ac:dyDescent="0.3">
      <c r="A224" s="222">
        <v>2025</v>
      </c>
      <c r="B224" s="222" t="s">
        <v>35</v>
      </c>
      <c r="C224" s="247" t="s">
        <v>687</v>
      </c>
      <c r="D224" s="247" t="s">
        <v>317</v>
      </c>
      <c r="E224" s="247" t="s">
        <v>252</v>
      </c>
      <c r="F224" s="247" t="s">
        <v>39</v>
      </c>
      <c r="G224" s="248">
        <v>4000000</v>
      </c>
      <c r="H224" s="249">
        <v>0.32200000000000001</v>
      </c>
      <c r="I224" s="250" t="s">
        <v>503</v>
      </c>
      <c r="J224" s="251">
        <v>105</v>
      </c>
      <c r="K224" s="252">
        <v>1</v>
      </c>
      <c r="L224" s="250" t="s">
        <v>48</v>
      </c>
      <c r="M224" s="250" t="s">
        <v>100</v>
      </c>
      <c r="N224" s="258" t="s">
        <v>35</v>
      </c>
      <c r="O224" s="253"/>
      <c r="P224" s="250"/>
      <c r="Q224" s="254"/>
      <c r="R224" s="254"/>
      <c r="S224" s="247" t="s">
        <v>688</v>
      </c>
      <c r="T224" s="247"/>
      <c r="U224" s="258"/>
      <c r="V224" s="258"/>
      <c r="W224" s="258"/>
      <c r="X224" s="258"/>
      <c r="Y224" s="258"/>
      <c r="Z224" s="258"/>
      <c r="AA224" s="263"/>
      <c r="AB224" s="258"/>
      <c r="AC224" s="263"/>
      <c r="AD224" s="353"/>
      <c r="AE224" s="258"/>
      <c r="AF224" s="258"/>
      <c r="AG224" s="258"/>
      <c r="AH224" s="258"/>
      <c r="AI224" s="258"/>
      <c r="AJ224" s="258"/>
      <c r="AK224" s="258"/>
      <c r="AL224" s="258"/>
      <c r="AM224" s="258"/>
      <c r="AN224" s="258"/>
      <c r="AO224" s="258"/>
      <c r="AP224" s="258"/>
      <c r="AQ224" s="205"/>
      <c r="AR224" s="205"/>
      <c r="AS224" s="263"/>
      <c r="AT224" s="353"/>
      <c r="AU224" s="205"/>
      <c r="AV224" s="263"/>
      <c r="AW224" s="353"/>
      <c r="AX224" s="353"/>
      <c r="AY224" s="266"/>
      <c r="AZ224" s="266"/>
      <c r="BA224" s="266"/>
      <c r="BB224" s="266"/>
      <c r="BC224" s="266"/>
    </row>
    <row r="225" spans="1:55" x14ac:dyDescent="0.3">
      <c r="A225" s="222">
        <v>2025</v>
      </c>
      <c r="B225" s="222" t="s">
        <v>35</v>
      </c>
      <c r="C225" s="282" t="s">
        <v>689</v>
      </c>
      <c r="D225" s="282" t="s">
        <v>690</v>
      </c>
      <c r="E225" s="282" t="s">
        <v>57</v>
      </c>
      <c r="F225" s="370" t="s">
        <v>596</v>
      </c>
      <c r="G225" s="283" t="s">
        <v>42</v>
      </c>
      <c r="H225" s="284" t="s">
        <v>42</v>
      </c>
      <c r="I225" s="258" t="s">
        <v>503</v>
      </c>
      <c r="J225" s="285">
        <v>398</v>
      </c>
      <c r="K225" s="286">
        <v>0.69</v>
      </c>
      <c r="L225" s="258" t="s">
        <v>32</v>
      </c>
      <c r="M225" s="250" t="s">
        <v>504</v>
      </c>
      <c r="N225" s="258"/>
      <c r="O225" s="258">
        <v>26.4</v>
      </c>
      <c r="P225" s="258"/>
      <c r="Q225" s="263"/>
      <c r="R225" s="263"/>
      <c r="S225" s="282" t="s">
        <v>691</v>
      </c>
      <c r="T225" s="282"/>
      <c r="U225" s="258"/>
      <c r="V225" s="258"/>
      <c r="W225" s="258"/>
      <c r="X225" s="258"/>
      <c r="Y225" s="258"/>
      <c r="Z225" s="258"/>
      <c r="AA225" s="263"/>
      <c r="AB225" s="258"/>
      <c r="AC225" s="263"/>
      <c r="AD225" s="353"/>
      <c r="AE225" s="258"/>
      <c r="AF225" s="258"/>
      <c r="AG225" s="258"/>
      <c r="AH225" s="258"/>
      <c r="AI225" s="258"/>
      <c r="AJ225" s="258"/>
      <c r="AK225" s="258"/>
      <c r="AL225" s="258"/>
      <c r="AM225" s="258"/>
      <c r="AN225" s="258"/>
      <c r="AO225" s="258"/>
      <c r="AP225" s="258"/>
      <c r="AQ225" s="258"/>
      <c r="AR225" s="258"/>
      <c r="AS225" s="263"/>
      <c r="AT225" s="353"/>
      <c r="AU225" s="258"/>
      <c r="AV225" s="263"/>
      <c r="AW225" s="353"/>
      <c r="AX225" s="353"/>
      <c r="AY225" s="266"/>
      <c r="AZ225" s="266"/>
      <c r="BA225" s="266"/>
      <c r="BB225" s="266"/>
    </row>
    <row r="226" spans="1:55" x14ac:dyDescent="0.3">
      <c r="A226" s="222">
        <v>2025</v>
      </c>
      <c r="B226" s="222" t="s">
        <v>35</v>
      </c>
      <c r="C226" s="247" t="s">
        <v>692</v>
      </c>
      <c r="D226" s="247" t="s">
        <v>693</v>
      </c>
      <c r="E226" s="247" t="s">
        <v>299</v>
      </c>
      <c r="F226" s="370" t="s">
        <v>596</v>
      </c>
      <c r="G226" s="283">
        <v>37500000</v>
      </c>
      <c r="H226" s="284" t="s">
        <v>42</v>
      </c>
      <c r="I226" s="250" t="s">
        <v>556</v>
      </c>
      <c r="J226" s="251">
        <v>1312</v>
      </c>
      <c r="K226" s="252"/>
      <c r="L226" s="250" t="s">
        <v>32</v>
      </c>
      <c r="M226" s="250" t="s">
        <v>547</v>
      </c>
      <c r="N226" s="258"/>
      <c r="O226" s="253"/>
      <c r="P226" s="250"/>
      <c r="Q226" s="254"/>
      <c r="R226" s="254"/>
      <c r="S226" s="247" t="s">
        <v>694</v>
      </c>
      <c r="T226" s="247"/>
      <c r="U226" s="258"/>
      <c r="V226" s="258"/>
      <c r="W226" s="258"/>
      <c r="X226" s="258"/>
      <c r="Y226" s="258"/>
      <c r="Z226" s="258"/>
      <c r="AA226" s="263"/>
      <c r="AB226" s="258"/>
      <c r="AC226" s="263"/>
      <c r="AD226" s="353"/>
      <c r="AE226" s="258"/>
      <c r="AF226" s="258"/>
      <c r="AG226" s="258"/>
      <c r="AH226" s="258"/>
      <c r="AI226" s="258"/>
      <c r="AJ226" s="258"/>
      <c r="AK226" s="258"/>
      <c r="AL226" s="258"/>
      <c r="AM226" s="258"/>
      <c r="AN226" s="258"/>
      <c r="AO226" s="258"/>
      <c r="AP226" s="258"/>
      <c r="AQ226" s="205"/>
      <c r="AR226" s="205"/>
      <c r="AS226" s="263"/>
      <c r="AT226" s="353"/>
      <c r="AU226" s="205"/>
      <c r="AV226" s="263"/>
      <c r="AW226" s="353"/>
      <c r="AX226" s="353"/>
      <c r="AY226" s="266"/>
      <c r="AZ226" s="266"/>
      <c r="BA226" s="266"/>
      <c r="BB226" s="266"/>
      <c r="BC226" s="266"/>
    </row>
    <row r="227" spans="1:55" x14ac:dyDescent="0.3">
      <c r="A227" s="222">
        <v>2024</v>
      </c>
      <c r="B227" s="222"/>
      <c r="C227" s="370" t="s">
        <v>339</v>
      </c>
      <c r="D227" s="282" t="s">
        <v>340</v>
      </c>
      <c r="E227" s="282" t="s">
        <v>31</v>
      </c>
      <c r="F227" s="282" t="s">
        <v>148</v>
      </c>
      <c r="G227" s="283">
        <v>10000000</v>
      </c>
      <c r="H227" s="284" t="s">
        <v>42</v>
      </c>
      <c r="I227" s="258" t="s">
        <v>531</v>
      </c>
      <c r="J227" s="285">
        <v>47</v>
      </c>
      <c r="K227" s="286">
        <v>0.95</v>
      </c>
      <c r="L227" s="258" t="s">
        <v>32</v>
      </c>
      <c r="M227" s="258" t="s">
        <v>100</v>
      </c>
      <c r="N227" s="211" t="str">
        <f t="shared" ref="N227" si="19">IF(L227="Broker","","Yes")</f>
        <v/>
      </c>
      <c r="O227" s="211">
        <f>1.49+7.61</f>
        <v>9.1</v>
      </c>
      <c r="P227" s="211"/>
      <c r="Q227" s="255"/>
      <c r="R227" s="255"/>
      <c r="S227" s="370" t="s">
        <v>341</v>
      </c>
      <c r="T227" s="370"/>
      <c r="U227" s="211"/>
      <c r="V227" s="211"/>
      <c r="W227" s="211"/>
      <c r="X227" s="211"/>
      <c r="Y227" s="211"/>
      <c r="Z227" s="211"/>
      <c r="AA227" s="255"/>
      <c r="AB227" s="211"/>
      <c r="AC227" s="255"/>
      <c r="AD227" s="210"/>
      <c r="AE227" s="211"/>
      <c r="AF227" s="211"/>
      <c r="AG227" s="211"/>
      <c r="AH227" s="211"/>
      <c r="AI227" s="211"/>
      <c r="AJ227" s="211"/>
      <c r="AK227" s="211"/>
      <c r="AL227" s="211"/>
      <c r="AM227" s="211"/>
      <c r="AN227" s="211"/>
      <c r="AO227" s="211"/>
      <c r="AP227" s="211"/>
      <c r="AQ227" s="211"/>
      <c r="AR227" s="211"/>
      <c r="AS227" s="255"/>
      <c r="AT227" s="210"/>
      <c r="AU227" s="211"/>
      <c r="AV227" s="255"/>
      <c r="AW227" s="210"/>
      <c r="AX227" s="210"/>
      <c r="AY227" s="266"/>
      <c r="AZ227" s="266"/>
      <c r="BA227" s="266"/>
    </row>
    <row r="228" spans="1:55" x14ac:dyDescent="0.3">
      <c r="A228" s="222">
        <v>2025</v>
      </c>
      <c r="B228" s="222" t="s">
        <v>35</v>
      </c>
      <c r="C228" s="282" t="s">
        <v>695</v>
      </c>
      <c r="D228" s="282" t="s">
        <v>696</v>
      </c>
      <c r="E228" s="282" t="s">
        <v>299</v>
      </c>
      <c r="F228" s="370" t="s">
        <v>596</v>
      </c>
      <c r="G228" s="283">
        <v>11500000</v>
      </c>
      <c r="H228" s="284">
        <v>0.26100000000000001</v>
      </c>
      <c r="I228" s="258" t="s">
        <v>503</v>
      </c>
      <c r="J228" s="285">
        <v>261</v>
      </c>
      <c r="K228" s="286">
        <v>0.95</v>
      </c>
      <c r="L228" s="258" t="s">
        <v>32</v>
      </c>
      <c r="M228" s="250" t="s">
        <v>504</v>
      </c>
      <c r="N228" s="258"/>
      <c r="O228" s="258"/>
      <c r="P228" s="258"/>
      <c r="Q228" s="263"/>
      <c r="R228" s="263"/>
      <c r="S228" s="282"/>
      <c r="T228" s="282"/>
      <c r="U228" s="258"/>
      <c r="V228" s="258"/>
      <c r="W228" s="258"/>
      <c r="X228" s="258"/>
      <c r="Y228" s="258"/>
      <c r="Z228" s="258"/>
      <c r="AA228" s="263"/>
      <c r="AB228" s="258"/>
      <c r="AC228" s="263"/>
      <c r="AD228" s="353"/>
      <c r="AE228" s="258"/>
      <c r="AF228" s="258"/>
      <c r="AG228" s="258"/>
      <c r="AH228" s="258"/>
      <c r="AI228" s="258"/>
      <c r="AJ228" s="258"/>
      <c r="AK228" s="258"/>
      <c r="AL228" s="258"/>
      <c r="AM228" s="258"/>
      <c r="AN228" s="258"/>
      <c r="AO228" s="258"/>
      <c r="AP228" s="258"/>
      <c r="AQ228" s="258"/>
      <c r="AR228" s="258"/>
      <c r="AS228" s="263"/>
      <c r="AT228" s="353"/>
      <c r="AU228" s="258"/>
      <c r="AV228" s="263"/>
      <c r="AW228" s="353"/>
      <c r="AX228" s="353"/>
      <c r="AY228" s="266"/>
      <c r="AZ228" s="266"/>
      <c r="BA228" s="266"/>
      <c r="BB228" s="266"/>
    </row>
    <row r="229" spans="1:55" x14ac:dyDescent="0.3">
      <c r="A229" s="222">
        <v>2025</v>
      </c>
      <c r="B229" s="222" t="s">
        <v>35</v>
      </c>
      <c r="C229" s="282" t="s">
        <v>697</v>
      </c>
      <c r="D229" s="282" t="s">
        <v>529</v>
      </c>
      <c r="E229" s="282" t="s">
        <v>31</v>
      </c>
      <c r="F229" s="370" t="s">
        <v>596</v>
      </c>
      <c r="G229" s="283">
        <v>1500000</v>
      </c>
      <c r="H229" s="286" t="s">
        <v>42</v>
      </c>
      <c r="I229" s="258" t="s">
        <v>503</v>
      </c>
      <c r="J229" s="341">
        <v>130</v>
      </c>
      <c r="K229" s="286">
        <v>0.65</v>
      </c>
      <c r="L229" s="258" t="s">
        <v>32</v>
      </c>
      <c r="M229" s="250"/>
      <c r="N229" s="258"/>
      <c r="O229" s="258"/>
      <c r="P229" s="258"/>
      <c r="Q229" s="263"/>
      <c r="R229" s="263"/>
      <c r="S229" s="282"/>
      <c r="T229" s="282"/>
      <c r="U229" s="258"/>
      <c r="V229" s="258"/>
      <c r="W229" s="258"/>
      <c r="X229" s="258"/>
      <c r="Y229" s="258"/>
      <c r="Z229" s="258"/>
      <c r="AA229" s="263"/>
      <c r="AB229" s="258"/>
      <c r="AC229" s="263"/>
      <c r="AD229" s="353"/>
      <c r="AE229" s="258"/>
      <c r="AF229" s="258"/>
      <c r="AG229" s="258"/>
      <c r="AH229" s="258"/>
      <c r="AI229" s="258"/>
      <c r="AJ229" s="258"/>
      <c r="AK229" s="258"/>
      <c r="AL229" s="258"/>
      <c r="AM229" s="258"/>
      <c r="AN229" s="258"/>
      <c r="AO229" s="258"/>
      <c r="AP229" s="258"/>
      <c r="AQ229" s="258"/>
      <c r="AR229" s="258"/>
      <c r="AS229" s="263"/>
      <c r="AT229" s="353"/>
      <c r="AU229" s="258"/>
      <c r="AV229" s="263"/>
      <c r="AW229" s="353"/>
      <c r="AX229" s="353"/>
      <c r="AY229" s="266"/>
      <c r="AZ229" s="266"/>
      <c r="BA229" s="266"/>
      <c r="BB229" s="266"/>
      <c r="BC229" s="266"/>
    </row>
    <row r="230" spans="1:55" x14ac:dyDescent="0.3">
      <c r="A230" s="222">
        <v>2025</v>
      </c>
      <c r="B230" s="222" t="s">
        <v>35</v>
      </c>
      <c r="C230" s="370" t="s">
        <v>698</v>
      </c>
      <c r="D230" s="282" t="s">
        <v>699</v>
      </c>
      <c r="E230" s="282" t="s">
        <v>122</v>
      </c>
      <c r="F230" s="370" t="s">
        <v>596</v>
      </c>
      <c r="G230" s="283" t="s">
        <v>42</v>
      </c>
      <c r="H230" s="284" t="s">
        <v>42</v>
      </c>
      <c r="I230" s="258" t="s">
        <v>503</v>
      </c>
      <c r="J230" s="285">
        <v>454</v>
      </c>
      <c r="K230" s="286" t="s">
        <v>42</v>
      </c>
      <c r="L230" s="258" t="s">
        <v>32</v>
      </c>
      <c r="M230" s="250" t="s">
        <v>100</v>
      </c>
      <c r="N230" s="211"/>
      <c r="O230" s="211"/>
      <c r="P230" s="211"/>
      <c r="Q230" s="255"/>
      <c r="R230" s="255"/>
      <c r="S230" s="370" t="s">
        <v>700</v>
      </c>
      <c r="T230" s="370"/>
      <c r="U230" s="211"/>
      <c r="V230" s="211"/>
      <c r="W230" s="211"/>
      <c r="X230" s="211"/>
      <c r="Y230" s="211"/>
      <c r="Z230" s="211"/>
      <c r="AA230" s="255"/>
      <c r="AB230" s="211"/>
      <c r="AC230" s="255"/>
      <c r="AD230" s="210"/>
      <c r="AE230" s="211"/>
      <c r="AF230" s="211"/>
      <c r="AG230" s="211"/>
      <c r="AH230" s="211"/>
      <c r="AI230" s="211"/>
      <c r="AJ230" s="211"/>
      <c r="AK230" s="211"/>
      <c r="AL230" s="211"/>
      <c r="AM230" s="211"/>
      <c r="AN230" s="211"/>
      <c r="AO230" s="211"/>
      <c r="AP230" s="211"/>
      <c r="AQ230" s="211"/>
      <c r="AR230" s="211"/>
      <c r="AS230" s="263" t="str">
        <f>IF(W230="","TBD",W230+AR230)</f>
        <v>TBD</v>
      </c>
      <c r="AT230" s="210"/>
      <c r="AU230" s="211"/>
      <c r="AV230" s="255" t="str">
        <f>IF(AA230="","TBD",AA230+AU230)</f>
        <v>TBD</v>
      </c>
      <c r="AW230" s="210"/>
      <c r="AX230" s="210"/>
      <c r="AY230" s="266"/>
      <c r="AZ230" s="266"/>
      <c r="BA230" s="266"/>
      <c r="BB230" s="266"/>
    </row>
    <row r="231" spans="1:55" x14ac:dyDescent="0.3">
      <c r="A231" s="222">
        <v>2025</v>
      </c>
      <c r="B231" s="222" t="s">
        <v>35</v>
      </c>
      <c r="C231" s="282" t="s">
        <v>701</v>
      </c>
      <c r="D231" s="282" t="s">
        <v>620</v>
      </c>
      <c r="E231" s="282" t="s">
        <v>335</v>
      </c>
      <c r="F231" s="370" t="s">
        <v>596</v>
      </c>
      <c r="G231" s="283">
        <v>37500000</v>
      </c>
      <c r="H231" s="284" t="s">
        <v>42</v>
      </c>
      <c r="I231" s="258" t="s">
        <v>503</v>
      </c>
      <c r="J231" s="285">
        <v>850</v>
      </c>
      <c r="K231" s="286" t="s">
        <v>42</v>
      </c>
      <c r="L231" s="258" t="s">
        <v>32</v>
      </c>
      <c r="M231" s="250"/>
      <c r="N231" s="258"/>
      <c r="O231" s="258"/>
      <c r="P231" s="258"/>
      <c r="Q231" s="263"/>
      <c r="R231" s="263"/>
      <c r="S231" s="282" t="s">
        <v>702</v>
      </c>
      <c r="T231" s="282"/>
      <c r="U231" s="258"/>
      <c r="V231" s="258"/>
      <c r="W231" s="258"/>
      <c r="X231" s="258"/>
      <c r="Y231" s="258"/>
      <c r="Z231" s="258"/>
      <c r="AA231" s="263"/>
      <c r="AB231" s="258"/>
      <c r="AC231" s="263"/>
      <c r="AD231" s="353"/>
      <c r="AE231" s="258"/>
      <c r="AF231" s="258"/>
      <c r="AG231" s="258"/>
      <c r="AH231" s="258"/>
      <c r="AI231" s="258"/>
      <c r="AJ231" s="258"/>
      <c r="AK231" s="258"/>
      <c r="AL231" s="258"/>
      <c r="AM231" s="258"/>
      <c r="AN231" s="258"/>
      <c r="AO231" s="258"/>
      <c r="AP231" s="258"/>
      <c r="AQ231" s="258"/>
      <c r="AR231" s="258"/>
      <c r="AS231" s="263"/>
      <c r="AT231" s="353"/>
      <c r="AU231" s="258"/>
      <c r="AV231" s="263"/>
      <c r="AW231" s="353"/>
      <c r="AX231" s="353"/>
      <c r="AY231" s="266"/>
      <c r="AZ231" s="266"/>
      <c r="BA231" s="266"/>
      <c r="BB231" s="266"/>
    </row>
    <row r="232" spans="1:55" x14ac:dyDescent="0.3">
      <c r="A232" s="222">
        <v>2025</v>
      </c>
      <c r="B232" s="222" t="s">
        <v>35</v>
      </c>
      <c r="C232" s="282" t="s">
        <v>703</v>
      </c>
      <c r="D232" s="282" t="s">
        <v>291</v>
      </c>
      <c r="E232" s="282" t="s">
        <v>53</v>
      </c>
      <c r="F232" s="370" t="s">
        <v>596</v>
      </c>
      <c r="G232" s="283" t="s">
        <v>42</v>
      </c>
      <c r="H232" s="284" t="s">
        <v>42</v>
      </c>
      <c r="I232" s="258" t="s">
        <v>503</v>
      </c>
      <c r="J232" s="285"/>
      <c r="K232" s="286" t="s">
        <v>42</v>
      </c>
      <c r="L232" s="258" t="s">
        <v>48</v>
      </c>
      <c r="M232" s="250"/>
      <c r="N232" s="258" t="s">
        <v>35</v>
      </c>
      <c r="O232" s="258"/>
      <c r="P232" s="258"/>
      <c r="Q232" s="263"/>
      <c r="R232" s="263"/>
      <c r="S232" s="282" t="s">
        <v>704</v>
      </c>
      <c r="T232" s="282"/>
      <c r="U232" s="258"/>
      <c r="V232" s="258"/>
      <c r="W232" s="258"/>
      <c r="X232" s="258"/>
      <c r="Y232" s="258"/>
      <c r="Z232" s="258"/>
      <c r="AA232" s="263"/>
      <c r="AB232" s="258"/>
      <c r="AC232" s="263"/>
      <c r="AD232" s="353"/>
      <c r="AE232" s="258"/>
      <c r="AF232" s="258"/>
      <c r="AG232" s="258"/>
      <c r="AH232" s="258"/>
      <c r="AI232" s="258"/>
      <c r="AJ232" s="258"/>
      <c r="AK232" s="258"/>
      <c r="AL232" s="258"/>
      <c r="AM232" s="258"/>
      <c r="AN232" s="258"/>
      <c r="AO232" s="258"/>
      <c r="AP232" s="258"/>
      <c r="AQ232" s="258"/>
      <c r="AR232" s="258"/>
      <c r="AS232" s="263"/>
      <c r="AT232" s="353"/>
      <c r="AU232" s="258"/>
      <c r="AV232" s="263"/>
      <c r="AW232" s="353"/>
      <c r="AX232" s="353"/>
      <c r="AY232" s="266"/>
      <c r="AZ232" s="266"/>
      <c r="BA232" s="266"/>
      <c r="BB232" s="266"/>
    </row>
    <row r="233" spans="1:55" x14ac:dyDescent="0.3">
      <c r="A233" s="222">
        <v>2025</v>
      </c>
      <c r="B233" s="222" t="s">
        <v>35</v>
      </c>
      <c r="C233" s="282" t="s">
        <v>705</v>
      </c>
      <c r="D233" s="282" t="s">
        <v>706</v>
      </c>
      <c r="E233" s="282" t="s">
        <v>53</v>
      </c>
      <c r="F233" s="370" t="s">
        <v>596</v>
      </c>
      <c r="G233" s="283">
        <v>10200000</v>
      </c>
      <c r="H233" s="284" t="s">
        <v>42</v>
      </c>
      <c r="I233" s="258" t="s">
        <v>503</v>
      </c>
      <c r="J233" s="285">
        <v>90</v>
      </c>
      <c r="K233" s="286" t="s">
        <v>42</v>
      </c>
      <c r="L233" s="258" t="s">
        <v>32</v>
      </c>
      <c r="M233" s="250" t="s">
        <v>110</v>
      </c>
      <c r="N233" s="258"/>
      <c r="O233" s="258">
        <v>5.44</v>
      </c>
      <c r="P233" s="258"/>
      <c r="Q233" s="263"/>
      <c r="R233" s="263"/>
      <c r="S233" s="282"/>
      <c r="T233" s="282"/>
      <c r="U233" s="258"/>
      <c r="V233" s="258"/>
      <c r="W233" s="258"/>
      <c r="X233" s="258"/>
      <c r="Y233" s="258"/>
      <c r="Z233" s="258"/>
      <c r="AA233" s="263"/>
      <c r="AB233" s="258"/>
      <c r="AC233" s="263"/>
      <c r="AD233" s="353"/>
      <c r="AE233" s="258"/>
      <c r="AF233" s="258"/>
      <c r="AG233" s="258"/>
      <c r="AH233" s="258"/>
      <c r="AI233" s="258"/>
      <c r="AJ233" s="258"/>
      <c r="AK233" s="258"/>
      <c r="AL233" s="258"/>
      <c r="AM233" s="258"/>
      <c r="AN233" s="258"/>
      <c r="AO233" s="258"/>
      <c r="AP233" s="258"/>
      <c r="AQ233" s="258"/>
      <c r="AR233" s="258"/>
      <c r="AS233" s="263"/>
      <c r="AT233" s="353"/>
      <c r="AU233" s="258"/>
      <c r="AV233" s="263"/>
      <c r="AW233" s="353"/>
      <c r="AX233" s="353"/>
      <c r="AY233" s="266"/>
      <c r="AZ233" s="266"/>
      <c r="BA233" s="266"/>
      <c r="BB233" s="266"/>
    </row>
    <row r="234" spans="1:55" x14ac:dyDescent="0.3">
      <c r="A234" s="222">
        <v>2025</v>
      </c>
      <c r="B234" s="222" t="s">
        <v>35</v>
      </c>
      <c r="C234" s="282" t="s">
        <v>707</v>
      </c>
      <c r="D234" s="282" t="s">
        <v>693</v>
      </c>
      <c r="E234" s="282" t="s">
        <v>299</v>
      </c>
      <c r="F234" s="370" t="s">
        <v>596</v>
      </c>
      <c r="G234" s="283">
        <v>17500000</v>
      </c>
      <c r="H234" s="284" t="s">
        <v>42</v>
      </c>
      <c r="I234" s="258" t="s">
        <v>556</v>
      </c>
      <c r="J234" s="285">
        <f>184+290+150</f>
        <v>624</v>
      </c>
      <c r="K234" s="286">
        <v>0.95</v>
      </c>
      <c r="L234" s="258" t="s">
        <v>48</v>
      </c>
      <c r="M234" s="250" t="s">
        <v>547</v>
      </c>
      <c r="N234" s="258" t="s">
        <v>35</v>
      </c>
      <c r="O234" s="258"/>
      <c r="P234" s="258"/>
      <c r="Q234" s="263"/>
      <c r="R234" s="263"/>
      <c r="S234" s="282" t="s">
        <v>708</v>
      </c>
      <c r="T234" s="282"/>
      <c r="U234" s="258"/>
      <c r="V234" s="258"/>
      <c r="W234" s="258"/>
      <c r="X234" s="258"/>
      <c r="Y234" s="258"/>
      <c r="Z234" s="258"/>
      <c r="AA234" s="263"/>
      <c r="AB234" s="258"/>
      <c r="AC234" s="263"/>
      <c r="AD234" s="353"/>
      <c r="AE234" s="258"/>
      <c r="AF234" s="258"/>
      <c r="AG234" s="258"/>
      <c r="AH234" s="258"/>
      <c r="AI234" s="258"/>
      <c r="AJ234" s="258"/>
      <c r="AK234" s="258"/>
      <c r="AL234" s="258"/>
      <c r="AM234" s="258"/>
      <c r="AN234" s="258"/>
      <c r="AO234" s="258"/>
      <c r="AP234" s="258"/>
      <c r="AQ234" s="258"/>
      <c r="AR234" s="258"/>
      <c r="AS234" s="263"/>
      <c r="AT234" s="353"/>
      <c r="AU234" s="258"/>
      <c r="AV234" s="263"/>
      <c r="AW234" s="353"/>
      <c r="AX234" s="353"/>
      <c r="AY234" s="266"/>
      <c r="AZ234" s="266"/>
      <c r="BA234" s="266"/>
      <c r="BB234" s="266"/>
    </row>
    <row r="235" spans="1:55" x14ac:dyDescent="0.3">
      <c r="A235" s="222">
        <v>2025</v>
      </c>
      <c r="B235" s="222" t="s">
        <v>35</v>
      </c>
      <c r="C235" s="282" t="s">
        <v>709</v>
      </c>
      <c r="D235" s="282" t="s">
        <v>710</v>
      </c>
      <c r="E235" s="282" t="s">
        <v>31</v>
      </c>
      <c r="F235" s="370" t="s">
        <v>596</v>
      </c>
      <c r="G235" s="283">
        <v>9500000</v>
      </c>
      <c r="H235" s="286" t="s">
        <v>42</v>
      </c>
      <c r="I235" s="258" t="s">
        <v>503</v>
      </c>
      <c r="J235" s="352">
        <v>31</v>
      </c>
      <c r="K235" s="286">
        <v>1</v>
      </c>
      <c r="L235" s="258" t="s">
        <v>32</v>
      </c>
      <c r="M235" s="250" t="s">
        <v>110</v>
      </c>
      <c r="N235" s="258"/>
      <c r="O235" s="258"/>
      <c r="P235" s="258"/>
      <c r="Q235" s="263"/>
      <c r="R235" s="263"/>
      <c r="S235" s="282" t="s">
        <v>711</v>
      </c>
      <c r="T235" s="282"/>
      <c r="U235" s="258"/>
      <c r="V235" s="258"/>
      <c r="W235" s="258"/>
      <c r="X235" s="258"/>
      <c r="Y235" s="258"/>
      <c r="Z235" s="258"/>
      <c r="AA235" s="263"/>
      <c r="AB235" s="258"/>
      <c r="AC235" s="263"/>
      <c r="AD235" s="353"/>
      <c r="AE235" s="258"/>
      <c r="AF235" s="258"/>
      <c r="AG235" s="258"/>
      <c r="AH235" s="258"/>
      <c r="AI235" s="258"/>
      <c r="AJ235" s="258"/>
      <c r="AK235" s="258"/>
      <c r="AL235" s="258"/>
      <c r="AM235" s="258"/>
      <c r="AN235" s="258"/>
      <c r="AO235" s="258"/>
      <c r="AP235" s="258"/>
      <c r="AQ235" s="258"/>
      <c r="AR235" s="258"/>
      <c r="AS235" s="263"/>
      <c r="AT235" s="353"/>
      <c r="AU235" s="258"/>
      <c r="AV235" s="263"/>
      <c r="AW235" s="353"/>
      <c r="AX235" s="353"/>
      <c r="AY235" s="266"/>
      <c r="AZ235" s="266"/>
      <c r="BA235" s="266"/>
      <c r="BB235" s="266"/>
      <c r="BC235" s="266"/>
    </row>
    <row r="236" spans="1:55" x14ac:dyDescent="0.3">
      <c r="A236" s="222">
        <v>2025</v>
      </c>
      <c r="B236" s="222" t="s">
        <v>35</v>
      </c>
      <c r="C236" s="409" t="s">
        <v>712</v>
      </c>
      <c r="D236" s="409" t="s">
        <v>713</v>
      </c>
      <c r="E236" s="409" t="s">
        <v>130</v>
      </c>
      <c r="F236" s="410" t="s">
        <v>714</v>
      </c>
      <c r="G236" s="283">
        <v>32500000</v>
      </c>
      <c r="H236" s="284">
        <v>0.246</v>
      </c>
      <c r="I236" s="258" t="s">
        <v>503</v>
      </c>
      <c r="J236" s="285">
        <v>375</v>
      </c>
      <c r="K236" s="286">
        <v>0.95</v>
      </c>
      <c r="L236" s="258" t="s">
        <v>48</v>
      </c>
      <c r="M236" s="250" t="s">
        <v>100</v>
      </c>
      <c r="N236" s="258" t="s">
        <v>35</v>
      </c>
      <c r="O236" s="258">
        <v>8.8000000000000007</v>
      </c>
      <c r="P236" s="258">
        <v>2025</v>
      </c>
      <c r="Q236" s="263">
        <v>45915</v>
      </c>
      <c r="R236" s="263"/>
      <c r="S236" s="282" t="s">
        <v>715</v>
      </c>
      <c r="T236" s="282"/>
      <c r="U236" s="258"/>
      <c r="V236" s="258"/>
      <c r="W236" s="258"/>
      <c r="X236" s="258"/>
      <c r="Y236" s="258"/>
      <c r="Z236" s="258"/>
      <c r="AA236" s="263"/>
      <c r="AB236" s="258"/>
      <c r="AC236" s="263"/>
      <c r="AD236" s="353"/>
      <c r="AE236" s="258"/>
      <c r="AF236" s="258"/>
      <c r="AG236" s="258"/>
      <c r="AH236" s="258"/>
      <c r="AI236" s="258"/>
      <c r="AJ236" s="258"/>
      <c r="AK236" s="258"/>
      <c r="AL236" s="258"/>
      <c r="AM236" s="258"/>
      <c r="AN236" s="258"/>
      <c r="AO236" s="258"/>
      <c r="AP236" s="258"/>
      <c r="AQ236" s="258"/>
      <c r="AR236" s="258"/>
      <c r="AS236" s="263"/>
      <c r="AT236" s="353"/>
      <c r="AU236" s="258"/>
      <c r="AV236" s="263"/>
      <c r="AW236" s="353"/>
      <c r="AX236" s="353"/>
      <c r="AY236" s="266"/>
      <c r="AZ236" s="266"/>
      <c r="BA236" s="266"/>
      <c r="BB236" s="266"/>
    </row>
    <row r="237" spans="1:55" x14ac:dyDescent="0.3">
      <c r="A237" s="222">
        <v>2025</v>
      </c>
      <c r="B237" s="222"/>
      <c r="C237" s="282" t="s">
        <v>716</v>
      </c>
      <c r="D237" s="282" t="s">
        <v>305</v>
      </c>
      <c r="E237" s="282" t="s">
        <v>31</v>
      </c>
      <c r="F237" s="370" t="s">
        <v>596</v>
      </c>
      <c r="G237" s="283">
        <v>13750000</v>
      </c>
      <c r="H237" s="286" t="s">
        <v>42</v>
      </c>
      <c r="I237" s="258" t="s">
        <v>531</v>
      </c>
      <c r="J237" s="352">
        <v>345</v>
      </c>
      <c r="K237" s="286">
        <v>0</v>
      </c>
      <c r="L237" s="258" t="s">
        <v>32</v>
      </c>
      <c r="M237" s="250"/>
      <c r="N237" s="258"/>
      <c r="O237" s="258"/>
      <c r="P237" s="258"/>
      <c r="Q237" s="263"/>
      <c r="R237" s="263"/>
      <c r="S237" s="282"/>
      <c r="T237" s="282"/>
      <c r="U237" s="258"/>
      <c r="V237" s="258"/>
      <c r="W237" s="258"/>
      <c r="X237" s="258"/>
      <c r="Y237" s="258"/>
      <c r="Z237" s="258"/>
      <c r="AA237" s="263"/>
      <c r="AB237" s="258"/>
      <c r="AC237" s="263"/>
      <c r="AD237" s="353"/>
      <c r="AE237" s="258"/>
      <c r="AF237" s="258"/>
      <c r="AG237" s="258"/>
      <c r="AH237" s="258"/>
      <c r="AI237" s="258"/>
      <c r="AJ237" s="258"/>
      <c r="AK237" s="258"/>
      <c r="AL237" s="258"/>
      <c r="AM237" s="258"/>
      <c r="AN237" s="258"/>
      <c r="AO237" s="258"/>
      <c r="AP237" s="258"/>
      <c r="AQ237" s="258"/>
      <c r="AR237" s="258"/>
      <c r="AS237" s="263"/>
      <c r="AT237" s="353"/>
      <c r="AU237" s="258"/>
      <c r="AV237" s="263"/>
      <c r="AW237" s="353"/>
      <c r="AX237" s="353"/>
      <c r="AY237" s="266"/>
      <c r="AZ237" s="266"/>
      <c r="BA237" s="266"/>
      <c r="BB237" s="266"/>
      <c r="BC237" s="266"/>
    </row>
    <row r="238" spans="1:55" x14ac:dyDescent="0.3">
      <c r="A238" s="222">
        <v>2025</v>
      </c>
      <c r="B238" s="222"/>
      <c r="C238" s="282" t="s">
        <v>717</v>
      </c>
      <c r="D238" s="282" t="s">
        <v>718</v>
      </c>
      <c r="E238" s="282" t="s">
        <v>262</v>
      </c>
      <c r="F238" s="370" t="s">
        <v>596</v>
      </c>
      <c r="G238" s="283">
        <v>17000000</v>
      </c>
      <c r="H238" s="286" t="s">
        <v>42</v>
      </c>
      <c r="I238" s="258" t="s">
        <v>503</v>
      </c>
      <c r="J238" s="352">
        <v>600</v>
      </c>
      <c r="K238" s="286" t="s">
        <v>42</v>
      </c>
      <c r="L238" s="258" t="s">
        <v>48</v>
      </c>
      <c r="M238" s="250"/>
      <c r="N238" s="258"/>
      <c r="O238" s="258"/>
      <c r="P238" s="258"/>
      <c r="Q238" s="263"/>
      <c r="R238" s="263"/>
      <c r="S238" s="282" t="s">
        <v>263</v>
      </c>
      <c r="T238" s="282"/>
      <c r="U238" s="258"/>
      <c r="V238" s="258"/>
      <c r="W238" s="258"/>
      <c r="X238" s="258"/>
      <c r="Y238" s="258"/>
      <c r="Z238" s="258"/>
      <c r="AA238" s="263"/>
      <c r="AB238" s="258"/>
      <c r="AC238" s="263"/>
      <c r="AD238" s="353"/>
      <c r="AE238" s="258"/>
      <c r="AF238" s="258"/>
      <c r="AG238" s="287"/>
      <c r="AH238" s="260"/>
      <c r="AI238" s="258"/>
      <c r="AJ238" s="287"/>
      <c r="AK238" s="260"/>
      <c r="AL238" s="258"/>
      <c r="AM238" s="287"/>
      <c r="AN238" s="260"/>
      <c r="AO238" s="258"/>
      <c r="AP238" s="258"/>
      <c r="AQ238" s="258"/>
      <c r="AR238" s="258"/>
      <c r="AS238" s="263"/>
      <c r="AT238" s="353"/>
      <c r="AU238" s="258"/>
      <c r="AV238" s="263"/>
      <c r="AW238" s="322"/>
      <c r="AX238" s="411"/>
      <c r="AY238" s="266"/>
      <c r="AZ238" s="266"/>
      <c r="BA238" s="266"/>
      <c r="BB238" s="266"/>
      <c r="BC238" s="266"/>
    </row>
    <row r="239" spans="1:55" x14ac:dyDescent="0.3">
      <c r="A239" s="222">
        <v>2025</v>
      </c>
      <c r="B239" s="222" t="s">
        <v>35</v>
      </c>
      <c r="C239" s="282" t="s">
        <v>719</v>
      </c>
      <c r="D239" s="282" t="s">
        <v>720</v>
      </c>
      <c r="E239" s="282" t="s">
        <v>546</v>
      </c>
      <c r="F239" s="282" t="s">
        <v>463</v>
      </c>
      <c r="G239" s="283">
        <v>18000000</v>
      </c>
      <c r="H239" s="286" t="s">
        <v>42</v>
      </c>
      <c r="I239" s="258" t="s">
        <v>503</v>
      </c>
      <c r="J239" s="352">
        <v>1000</v>
      </c>
      <c r="K239" s="286" t="s">
        <v>42</v>
      </c>
      <c r="L239" s="258" t="s">
        <v>32</v>
      </c>
      <c r="M239" s="250" t="s">
        <v>547</v>
      </c>
      <c r="N239" s="258"/>
      <c r="O239" s="258"/>
      <c r="P239" s="258"/>
      <c r="Q239" s="263"/>
      <c r="R239" s="263"/>
      <c r="S239" s="282"/>
      <c r="T239" s="282"/>
      <c r="U239" s="258"/>
      <c r="V239" s="258"/>
      <c r="W239" s="258"/>
      <c r="X239" s="258"/>
      <c r="Y239" s="258"/>
      <c r="Z239" s="258"/>
      <c r="AA239" s="263"/>
      <c r="AB239" s="258"/>
      <c r="AC239" s="263"/>
      <c r="AD239" s="353"/>
      <c r="AE239" s="258"/>
      <c r="AF239" s="258"/>
      <c r="AG239" s="258"/>
      <c r="AH239" s="258"/>
      <c r="AI239" s="258"/>
      <c r="AJ239" s="258"/>
      <c r="AK239" s="258"/>
      <c r="AL239" s="258"/>
      <c r="AM239" s="258"/>
      <c r="AN239" s="258"/>
      <c r="AO239" s="258"/>
      <c r="AP239" s="258"/>
      <c r="AQ239" s="258"/>
      <c r="AR239" s="258"/>
      <c r="AS239" s="263"/>
      <c r="AT239" s="353"/>
      <c r="AU239" s="258"/>
      <c r="AV239" s="263"/>
      <c r="AW239" s="353"/>
      <c r="AX239" s="353"/>
      <c r="AY239" s="266"/>
      <c r="AZ239" s="266"/>
      <c r="BA239" s="266"/>
      <c r="BB239" s="266"/>
      <c r="BC239" s="266"/>
    </row>
    <row r="240" spans="1:55" x14ac:dyDescent="0.3">
      <c r="A240" s="222">
        <v>2023</v>
      </c>
      <c r="B240" s="222" t="s">
        <v>35</v>
      </c>
      <c r="C240" s="370" t="s">
        <v>721</v>
      </c>
      <c r="D240" s="370" t="s">
        <v>722</v>
      </c>
      <c r="E240" s="370" t="s">
        <v>225</v>
      </c>
      <c r="F240" s="370" t="s">
        <v>596</v>
      </c>
      <c r="G240" s="371">
        <v>11000000</v>
      </c>
      <c r="H240" s="219" t="s">
        <v>42</v>
      </c>
      <c r="I240" s="211" t="s">
        <v>503</v>
      </c>
      <c r="J240" s="285"/>
      <c r="K240" s="219">
        <v>1</v>
      </c>
      <c r="L240" s="211" t="s">
        <v>48</v>
      </c>
      <c r="M240" s="211" t="s">
        <v>553</v>
      </c>
      <c r="N240" s="211" t="str">
        <f>IF(L240="Broker","","Yes")</f>
        <v>Yes</v>
      </c>
      <c r="O240" s="372">
        <v>20</v>
      </c>
      <c r="P240" s="211"/>
      <c r="Q240" s="255"/>
      <c r="R240" s="255"/>
      <c r="S240" s="370"/>
      <c r="T240" s="370"/>
      <c r="U240" s="211"/>
      <c r="V240" s="211"/>
      <c r="W240" s="211"/>
      <c r="X240" s="211"/>
      <c r="Y240" s="211"/>
      <c r="Z240" s="211"/>
      <c r="AA240" s="255"/>
      <c r="AB240" s="211"/>
      <c r="AC240" s="255"/>
      <c r="AD240" s="210"/>
      <c r="AE240" s="258"/>
      <c r="AF240" s="258"/>
      <c r="AG240" s="258"/>
      <c r="AH240" s="258"/>
      <c r="AI240" s="258"/>
      <c r="AJ240" s="258"/>
      <c r="AK240" s="258"/>
      <c r="AL240" s="258"/>
      <c r="AM240" s="258"/>
      <c r="AN240" s="258"/>
      <c r="AO240" s="258"/>
      <c r="AP240" s="258"/>
      <c r="AQ240" s="211"/>
      <c r="AR240" s="211"/>
      <c r="AS240" s="255"/>
      <c r="AT240" s="210"/>
      <c r="AU240" s="211"/>
      <c r="AV240" s="255"/>
      <c r="AW240" s="210"/>
      <c r="AX240" s="210"/>
    </row>
    <row r="241" spans="1:55" x14ac:dyDescent="0.3">
      <c r="A241" s="222">
        <v>2025</v>
      </c>
      <c r="B241" s="222" t="s">
        <v>35</v>
      </c>
      <c r="C241" s="410" t="s">
        <v>723</v>
      </c>
      <c r="D241" s="410" t="s">
        <v>670</v>
      </c>
      <c r="E241" s="410" t="s">
        <v>94</v>
      </c>
      <c r="F241" s="410" t="s">
        <v>714</v>
      </c>
      <c r="G241" s="248">
        <v>22250000</v>
      </c>
      <c r="H241" s="249">
        <v>0.254</v>
      </c>
      <c r="I241" s="250" t="s">
        <v>503</v>
      </c>
      <c r="J241" s="251">
        <v>273</v>
      </c>
      <c r="K241" s="252">
        <v>1</v>
      </c>
      <c r="L241" s="250" t="s">
        <v>32</v>
      </c>
      <c r="M241" s="250" t="s">
        <v>547</v>
      </c>
      <c r="N241" s="258"/>
      <c r="O241" s="253"/>
      <c r="P241" s="250">
        <v>2025</v>
      </c>
      <c r="Q241" s="254">
        <v>46003</v>
      </c>
      <c r="R241" s="254"/>
      <c r="S241" s="247" t="s">
        <v>724</v>
      </c>
      <c r="T241" s="247"/>
      <c r="U241" s="258"/>
      <c r="V241" s="258"/>
      <c r="W241" s="258"/>
      <c r="X241" s="258"/>
      <c r="Y241" s="258"/>
      <c r="Z241" s="258"/>
      <c r="AA241" s="263"/>
      <c r="AB241" s="258"/>
      <c r="AC241" s="263"/>
      <c r="AD241" s="353"/>
      <c r="AE241" s="258"/>
      <c r="AF241" s="258"/>
      <c r="AG241" s="258"/>
      <c r="AH241" s="258"/>
      <c r="AI241" s="258"/>
      <c r="AJ241" s="258"/>
      <c r="AK241" s="258"/>
      <c r="AL241" s="258"/>
      <c r="AM241" s="258"/>
      <c r="AN241" s="258"/>
      <c r="AO241" s="258"/>
      <c r="AP241" s="258"/>
      <c r="AQ241" s="205"/>
      <c r="AR241" s="205"/>
      <c r="AS241" s="263"/>
      <c r="AT241" s="353"/>
      <c r="AU241" s="205"/>
      <c r="AV241" s="263"/>
      <c r="AW241" s="353"/>
      <c r="AX241" s="353"/>
      <c r="AY241" s="266"/>
      <c r="AZ241" s="266"/>
      <c r="BA241" s="266"/>
      <c r="BB241" s="266"/>
      <c r="BC241" s="266"/>
    </row>
    <row r="242" spans="1:55" x14ac:dyDescent="0.3">
      <c r="A242" s="222">
        <v>2025</v>
      </c>
      <c r="B242" s="222"/>
      <c r="C242" s="412" t="s">
        <v>725</v>
      </c>
      <c r="D242" s="413" t="s">
        <v>726</v>
      </c>
      <c r="E242" s="413" t="s">
        <v>122</v>
      </c>
      <c r="F242" s="413" t="s">
        <v>151</v>
      </c>
      <c r="G242" s="414" t="s">
        <v>42</v>
      </c>
      <c r="H242" s="415" t="s">
        <v>42</v>
      </c>
      <c r="I242" s="385" t="s">
        <v>503</v>
      </c>
      <c r="J242" s="416">
        <v>600</v>
      </c>
      <c r="K242" s="417" t="s">
        <v>42</v>
      </c>
      <c r="L242" s="418" t="s">
        <v>32</v>
      </c>
      <c r="M242" s="419"/>
      <c r="N242" s="418"/>
      <c r="O242" s="260"/>
      <c r="P242" s="258"/>
      <c r="Q242" s="263"/>
      <c r="R242" s="263"/>
      <c r="S242" s="394"/>
      <c r="T242" s="356"/>
      <c r="U242" s="258"/>
      <c r="V242" s="258"/>
      <c r="W242" s="258"/>
      <c r="X242" s="258"/>
      <c r="Y242" s="258"/>
      <c r="Z242" s="258"/>
      <c r="AA242" s="263"/>
      <c r="AB242" s="258"/>
      <c r="AC242" s="263"/>
      <c r="AD242" s="353"/>
      <c r="AE242" s="258"/>
      <c r="AF242" s="258"/>
      <c r="AG242" s="258"/>
      <c r="AH242" s="258"/>
      <c r="AI242" s="258"/>
      <c r="AJ242" s="258"/>
      <c r="AK242" s="258"/>
      <c r="AL242" s="258"/>
      <c r="AM242" s="258"/>
      <c r="AN242" s="258"/>
      <c r="AO242" s="258"/>
      <c r="AP242" s="258"/>
      <c r="AQ242" s="258"/>
      <c r="AR242" s="258"/>
      <c r="AS242" s="263"/>
      <c r="AT242" s="353"/>
      <c r="AU242" s="258"/>
      <c r="AV242" s="263"/>
      <c r="AW242" s="353"/>
      <c r="AX242" s="353"/>
      <c r="AY242" s="266"/>
      <c r="AZ242" s="266"/>
      <c r="BA242" s="266"/>
      <c r="BB242" s="266"/>
      <c r="BC242" s="266"/>
    </row>
    <row r="243" spans="1:55" s="266" customFormat="1" x14ac:dyDescent="0.3">
      <c r="A243" s="222">
        <v>2026</v>
      </c>
      <c r="B243" s="222" t="s">
        <v>35</v>
      </c>
      <c r="C243" s="247" t="s">
        <v>727</v>
      </c>
      <c r="D243" s="247" t="s">
        <v>728</v>
      </c>
      <c r="E243" s="247" t="s">
        <v>130</v>
      </c>
      <c r="F243" s="282" t="s">
        <v>151</v>
      </c>
      <c r="G243" s="248" t="s">
        <v>42</v>
      </c>
      <c r="H243" s="249" t="s">
        <v>42</v>
      </c>
      <c r="I243" s="250" t="s">
        <v>556</v>
      </c>
      <c r="J243" s="357"/>
      <c r="K243" s="252"/>
      <c r="L243" s="250" t="s">
        <v>32</v>
      </c>
      <c r="M243" s="250"/>
      <c r="N243" s="258"/>
      <c r="O243" s="253"/>
      <c r="P243" s="250"/>
      <c r="Q243" s="254"/>
      <c r="R243" s="254"/>
      <c r="S243" s="247"/>
      <c r="T243" s="247"/>
      <c r="U243" s="250"/>
      <c r="V243" s="250"/>
      <c r="W243" s="250"/>
      <c r="X243" s="250"/>
      <c r="Y243" s="250"/>
      <c r="Z243" s="250"/>
      <c r="AA243" s="256"/>
      <c r="AB243" s="250"/>
      <c r="AC243" s="257"/>
      <c r="AD243" s="258"/>
      <c r="AE243" s="258"/>
      <c r="AF243" s="258"/>
      <c r="AG243" s="258"/>
      <c r="AH243" s="258"/>
      <c r="AI243" s="258"/>
      <c r="AJ243" s="258"/>
      <c r="AK243" s="258"/>
      <c r="AL243" s="258"/>
      <c r="AM243" s="258"/>
      <c r="AN243" s="258"/>
      <c r="AO243" s="258"/>
      <c r="AP243" s="258"/>
      <c r="AQ243" s="250"/>
      <c r="AR243" s="250"/>
      <c r="AS243" s="263"/>
      <c r="AT243" s="358"/>
      <c r="AU243" s="250"/>
      <c r="AV243" s="254"/>
      <c r="AW243" s="358"/>
      <c r="AX243" s="358"/>
    </row>
    <row r="244" spans="1:55" s="266" customFormat="1" x14ac:dyDescent="0.3">
      <c r="A244" s="222">
        <v>2026</v>
      </c>
      <c r="B244" s="222"/>
      <c r="C244" s="247" t="s">
        <v>729</v>
      </c>
      <c r="D244" s="247" t="s">
        <v>693</v>
      </c>
      <c r="E244" s="247" t="s">
        <v>299</v>
      </c>
      <c r="F244" s="370" t="s">
        <v>596</v>
      </c>
      <c r="G244" s="248">
        <v>9000000</v>
      </c>
      <c r="H244" s="249" t="s">
        <v>42</v>
      </c>
      <c r="I244" s="250" t="s">
        <v>503</v>
      </c>
      <c r="J244" s="357">
        <v>296</v>
      </c>
      <c r="K244" s="252">
        <v>1</v>
      </c>
      <c r="L244" s="250" t="s">
        <v>32</v>
      </c>
      <c r="M244" s="250" t="s">
        <v>547</v>
      </c>
      <c r="N244" s="258"/>
      <c r="O244" s="253"/>
      <c r="P244" s="250"/>
      <c r="Q244" s="254"/>
      <c r="R244" s="254"/>
      <c r="S244" s="247"/>
      <c r="T244" s="247"/>
      <c r="U244" s="250"/>
      <c r="V244" s="250"/>
      <c r="W244" s="250"/>
      <c r="X244" s="250"/>
      <c r="Y244" s="250"/>
      <c r="Z244" s="250"/>
      <c r="AA244" s="256"/>
      <c r="AB244" s="250"/>
      <c r="AC244" s="257"/>
      <c r="AD244" s="258"/>
      <c r="AE244" s="258"/>
      <c r="AF244" s="258"/>
      <c r="AG244" s="287"/>
      <c r="AH244" s="260"/>
      <c r="AI244" s="258"/>
      <c r="AJ244" s="287"/>
      <c r="AK244" s="260"/>
      <c r="AL244" s="258"/>
      <c r="AM244" s="287"/>
      <c r="AN244" s="260"/>
      <c r="AO244" s="258"/>
      <c r="AP244" s="258"/>
      <c r="AQ244" s="250"/>
      <c r="AR244" s="250"/>
      <c r="AS244" s="263"/>
      <c r="AT244" s="358"/>
      <c r="AU244" s="250"/>
      <c r="AV244" s="254"/>
      <c r="AW244" s="305"/>
      <c r="AX244" s="420"/>
    </row>
    <row r="245" spans="1:55" s="266" customFormat="1" x14ac:dyDescent="0.3">
      <c r="A245" s="222">
        <v>2026</v>
      </c>
      <c r="B245" s="222" t="s">
        <v>35</v>
      </c>
      <c r="C245" s="247" t="s">
        <v>730</v>
      </c>
      <c r="D245" s="247" t="s">
        <v>731</v>
      </c>
      <c r="E245" s="247" t="s">
        <v>546</v>
      </c>
      <c r="F245" s="370" t="s">
        <v>596</v>
      </c>
      <c r="G245" s="248">
        <v>8250000</v>
      </c>
      <c r="H245" s="249" t="s">
        <v>42</v>
      </c>
      <c r="I245" s="250" t="s">
        <v>556</v>
      </c>
      <c r="J245" s="357">
        <f>177+15+51</f>
        <v>243</v>
      </c>
      <c r="K245" s="252" t="s">
        <v>42</v>
      </c>
      <c r="L245" s="250" t="s">
        <v>32</v>
      </c>
      <c r="M245" s="250"/>
      <c r="N245" s="258"/>
      <c r="O245" s="253"/>
      <c r="P245" s="250"/>
      <c r="Q245" s="254"/>
      <c r="R245" s="254"/>
      <c r="S245" s="247" t="s">
        <v>732</v>
      </c>
      <c r="T245" s="247"/>
      <c r="U245" s="250"/>
      <c r="V245" s="250"/>
      <c r="W245" s="250"/>
      <c r="X245" s="250"/>
      <c r="Y245" s="250"/>
      <c r="Z245" s="250"/>
      <c r="AA245" s="256"/>
      <c r="AB245" s="250"/>
      <c r="AC245" s="257"/>
      <c r="AD245" s="258"/>
      <c r="AE245" s="258"/>
      <c r="AF245" s="258"/>
      <c r="AG245" s="287"/>
      <c r="AH245" s="260"/>
      <c r="AI245" s="258"/>
      <c r="AJ245" s="287"/>
      <c r="AK245" s="260"/>
      <c r="AL245" s="258"/>
      <c r="AM245" s="287"/>
      <c r="AN245" s="260"/>
      <c r="AO245" s="258"/>
      <c r="AP245" s="258"/>
      <c r="AQ245" s="250"/>
      <c r="AR245" s="250"/>
      <c r="AS245" s="263"/>
      <c r="AT245" s="358"/>
      <c r="AU245" s="250"/>
      <c r="AV245" s="254"/>
      <c r="AW245" s="305"/>
      <c r="AX245" s="420"/>
    </row>
    <row r="246" spans="1:55" s="266" customFormat="1" x14ac:dyDescent="0.3">
      <c r="A246" s="222">
        <v>2026</v>
      </c>
      <c r="B246" s="222"/>
      <c r="C246" s="247" t="s">
        <v>733</v>
      </c>
      <c r="D246" s="247" t="s">
        <v>734</v>
      </c>
      <c r="E246" s="247" t="s">
        <v>559</v>
      </c>
      <c r="F246" s="370" t="s">
        <v>596</v>
      </c>
      <c r="G246" s="248">
        <v>5000000</v>
      </c>
      <c r="H246" s="249" t="s">
        <v>42</v>
      </c>
      <c r="I246" s="250" t="s">
        <v>556</v>
      </c>
      <c r="J246" s="357"/>
      <c r="K246" s="252"/>
      <c r="L246" s="250" t="s">
        <v>32</v>
      </c>
      <c r="M246" s="250"/>
      <c r="N246" s="258"/>
      <c r="O246" s="253">
        <v>7</v>
      </c>
      <c r="P246" s="250"/>
      <c r="Q246" s="254"/>
      <c r="R246" s="254"/>
      <c r="S246" s="247" t="s">
        <v>735</v>
      </c>
      <c r="T246" s="247"/>
      <c r="U246" s="250"/>
      <c r="V246" s="250"/>
      <c r="W246" s="250"/>
      <c r="X246" s="250"/>
      <c r="Y246" s="250"/>
      <c r="Z246" s="250"/>
      <c r="AA246" s="256"/>
      <c r="AB246" s="250"/>
      <c r="AC246" s="257"/>
      <c r="AD246" s="258"/>
      <c r="AE246" s="258"/>
      <c r="AF246" s="258"/>
      <c r="AG246" s="287"/>
      <c r="AH246" s="260"/>
      <c r="AI246" s="258"/>
      <c r="AJ246" s="287"/>
      <c r="AK246" s="260"/>
      <c r="AL246" s="258"/>
      <c r="AM246" s="287"/>
      <c r="AN246" s="260"/>
      <c r="AO246" s="258"/>
      <c r="AP246" s="258"/>
      <c r="AQ246" s="250"/>
      <c r="AR246" s="250"/>
      <c r="AS246" s="263"/>
      <c r="AT246" s="358"/>
      <c r="AU246" s="250"/>
      <c r="AV246" s="254"/>
      <c r="AW246" s="305"/>
      <c r="AX246" s="420"/>
    </row>
    <row r="247" spans="1:55" s="266" customFormat="1" x14ac:dyDescent="0.3">
      <c r="A247" s="222">
        <v>2026</v>
      </c>
      <c r="B247" s="222" t="s">
        <v>35</v>
      </c>
      <c r="C247" s="247" t="s">
        <v>736</v>
      </c>
      <c r="D247" s="247" t="s">
        <v>737</v>
      </c>
      <c r="E247" s="247" t="s">
        <v>31</v>
      </c>
      <c r="F247" s="370" t="s">
        <v>596</v>
      </c>
      <c r="G247" s="248">
        <v>2150000</v>
      </c>
      <c r="H247" s="249">
        <v>0.3</v>
      </c>
      <c r="I247" s="250" t="s">
        <v>531</v>
      </c>
      <c r="J247" s="357">
        <f>122+28</f>
        <v>150</v>
      </c>
      <c r="K247" s="252">
        <v>0</v>
      </c>
      <c r="L247" s="250" t="s">
        <v>32</v>
      </c>
      <c r="M247" s="250" t="s">
        <v>110</v>
      </c>
      <c r="N247" s="258"/>
      <c r="O247" s="253"/>
      <c r="P247" s="250"/>
      <c r="Q247" s="254"/>
      <c r="R247" s="254"/>
      <c r="S247" s="247"/>
      <c r="T247" s="247"/>
      <c r="U247" s="250"/>
      <c r="V247" s="250"/>
      <c r="W247" s="250"/>
      <c r="X247" s="250"/>
      <c r="Y247" s="250"/>
      <c r="Z247" s="250"/>
      <c r="AA247" s="256"/>
      <c r="AB247" s="250"/>
      <c r="AC247" s="257"/>
      <c r="AD247" s="258"/>
      <c r="AE247" s="258"/>
      <c r="AF247" s="258"/>
      <c r="AG247" s="258"/>
      <c r="AH247" s="258"/>
      <c r="AI247" s="258"/>
      <c r="AJ247" s="258"/>
      <c r="AK247" s="258"/>
      <c r="AL247" s="258"/>
      <c r="AM247" s="258"/>
      <c r="AN247" s="258"/>
      <c r="AO247" s="258"/>
      <c r="AP247" s="258"/>
      <c r="AQ247" s="250"/>
      <c r="AR247" s="250"/>
      <c r="AS247" s="263"/>
      <c r="AT247" s="358"/>
      <c r="AU247" s="250"/>
      <c r="AV247" s="254"/>
      <c r="AW247" s="358"/>
      <c r="AX247" s="358"/>
    </row>
    <row r="248" spans="1:55" s="266" customFormat="1" x14ac:dyDescent="0.3">
      <c r="A248" s="222">
        <v>2026</v>
      </c>
      <c r="B248" s="222" t="s">
        <v>35</v>
      </c>
      <c r="C248" s="247" t="s">
        <v>738</v>
      </c>
      <c r="D248" s="247" t="s">
        <v>739</v>
      </c>
      <c r="E248" s="247" t="s">
        <v>115</v>
      </c>
      <c r="F248" s="370" t="s">
        <v>596</v>
      </c>
      <c r="G248" s="248">
        <v>8500000</v>
      </c>
      <c r="H248" s="249">
        <v>0.255</v>
      </c>
      <c r="I248" s="250" t="s">
        <v>534</v>
      </c>
      <c r="J248" s="357">
        <v>156</v>
      </c>
      <c r="K248" s="252">
        <v>0.98</v>
      </c>
      <c r="L248" s="250" t="s">
        <v>32</v>
      </c>
      <c r="M248" s="250" t="s">
        <v>100</v>
      </c>
      <c r="N248" s="258"/>
      <c r="O248" s="253"/>
      <c r="P248" s="250"/>
      <c r="Q248" s="254"/>
      <c r="R248" s="254"/>
      <c r="S248" s="247" t="s">
        <v>740</v>
      </c>
      <c r="T248" s="247"/>
      <c r="U248" s="250"/>
      <c r="V248" s="250"/>
      <c r="W248" s="250"/>
      <c r="X248" s="250"/>
      <c r="Y248" s="250"/>
      <c r="Z248" s="250"/>
      <c r="AA248" s="256"/>
      <c r="AB248" s="250"/>
      <c r="AC248" s="257"/>
      <c r="AD248" s="258"/>
      <c r="AE248" s="258"/>
      <c r="AF248" s="258"/>
      <c r="AG248" s="258"/>
      <c r="AH248" s="258"/>
      <c r="AI248" s="258"/>
      <c r="AJ248" s="258"/>
      <c r="AK248" s="258"/>
      <c r="AL248" s="258"/>
      <c r="AM248" s="258"/>
      <c r="AN248" s="258"/>
      <c r="AO248" s="258"/>
      <c r="AP248" s="258"/>
      <c r="AQ248" s="250"/>
      <c r="AR248" s="250"/>
      <c r="AS248" s="263"/>
      <c r="AT248" s="358"/>
      <c r="AU248" s="250"/>
      <c r="AV248" s="254"/>
      <c r="AW248" s="358"/>
      <c r="AX248" s="358"/>
    </row>
    <row r="249" spans="1:55" x14ac:dyDescent="0.3">
      <c r="A249" s="222">
        <v>2026</v>
      </c>
      <c r="B249" s="222" t="s">
        <v>35</v>
      </c>
      <c r="C249" s="388" t="s">
        <v>741</v>
      </c>
      <c r="D249" s="282" t="s">
        <v>742</v>
      </c>
      <c r="E249" s="282" t="s">
        <v>31</v>
      </c>
      <c r="F249" s="370" t="s">
        <v>596</v>
      </c>
      <c r="G249" s="283" t="s">
        <v>33</v>
      </c>
      <c r="H249" s="286" t="s">
        <v>42</v>
      </c>
      <c r="I249" s="258" t="s">
        <v>531</v>
      </c>
      <c r="J249" s="352">
        <f>88+44</f>
        <v>132</v>
      </c>
      <c r="K249" s="421" t="s">
        <v>42</v>
      </c>
      <c r="L249" s="393" t="s">
        <v>32</v>
      </c>
      <c r="M249" s="422"/>
      <c r="N249" s="393"/>
      <c r="O249" s="260">
        <v>1.5</v>
      </c>
      <c r="P249" s="258"/>
      <c r="Q249" s="263"/>
      <c r="R249" s="263"/>
      <c r="S249" s="394"/>
      <c r="T249" s="356"/>
      <c r="U249" s="258"/>
      <c r="V249" s="258"/>
      <c r="W249" s="258"/>
      <c r="X249" s="258"/>
      <c r="Y249" s="258"/>
      <c r="Z249" s="258"/>
      <c r="AA249" s="263"/>
      <c r="AB249" s="258"/>
      <c r="AC249" s="263"/>
      <c r="AD249" s="353"/>
      <c r="AE249" s="258"/>
      <c r="AF249" s="258"/>
      <c r="AG249" s="258"/>
      <c r="AH249" s="258"/>
      <c r="AI249" s="258"/>
      <c r="AJ249" s="258"/>
      <c r="AK249" s="258"/>
      <c r="AL249" s="258"/>
      <c r="AM249" s="258"/>
      <c r="AN249" s="258"/>
      <c r="AO249" s="258"/>
      <c r="AP249" s="258"/>
      <c r="AQ249" s="258"/>
      <c r="AR249" s="258"/>
      <c r="AS249" s="263"/>
      <c r="AT249" s="353"/>
      <c r="AU249" s="258"/>
      <c r="AV249" s="263"/>
      <c r="AW249" s="353"/>
      <c r="AX249" s="353"/>
      <c r="AY249" s="266"/>
      <c r="AZ249" s="266"/>
      <c r="BA249" s="266"/>
      <c r="BB249" s="266"/>
      <c r="BC249" s="266"/>
    </row>
    <row r="250" spans="1:55" x14ac:dyDescent="0.3">
      <c r="A250" s="222">
        <v>2026</v>
      </c>
      <c r="B250" s="222" t="s">
        <v>35</v>
      </c>
      <c r="C250" s="282" t="s">
        <v>743</v>
      </c>
      <c r="D250" s="194" t="s">
        <v>529</v>
      </c>
      <c r="E250" s="194" t="s">
        <v>31</v>
      </c>
      <c r="F250" s="370" t="s">
        <v>596</v>
      </c>
      <c r="G250" s="343">
        <v>8000000</v>
      </c>
      <c r="H250" s="284">
        <v>0.252</v>
      </c>
      <c r="I250" s="258" t="s">
        <v>503</v>
      </c>
      <c r="J250" s="352">
        <v>250</v>
      </c>
      <c r="K250" s="252">
        <v>0.7</v>
      </c>
      <c r="L250" s="341" t="s">
        <v>32</v>
      </c>
      <c r="M250" s="374"/>
      <c r="N250" s="258"/>
      <c r="O250" s="258"/>
      <c r="P250" s="258"/>
      <c r="Q250" s="263"/>
      <c r="R250" s="263"/>
      <c r="S250" s="282" t="s">
        <v>744</v>
      </c>
      <c r="T250" s="282"/>
      <c r="U250" s="258"/>
      <c r="V250" s="258"/>
      <c r="W250" s="258"/>
      <c r="X250" s="258"/>
      <c r="Y250" s="258"/>
      <c r="Z250" s="258"/>
      <c r="AA250" s="263"/>
      <c r="AB250" s="258"/>
      <c r="AC250" s="263"/>
      <c r="AD250" s="353"/>
      <c r="AE250" s="258"/>
      <c r="AF250" s="258"/>
      <c r="AG250" s="258"/>
      <c r="AH250" s="258"/>
      <c r="AI250" s="258"/>
      <c r="AJ250" s="258"/>
      <c r="AK250" s="258"/>
      <c r="AL250" s="258"/>
      <c r="AM250" s="258"/>
      <c r="AN250" s="258"/>
      <c r="AO250" s="258"/>
      <c r="AP250" s="258"/>
      <c r="AQ250" s="258"/>
      <c r="AR250" s="258"/>
      <c r="AS250" s="263"/>
      <c r="AT250" s="353"/>
      <c r="AU250" s="258"/>
      <c r="AV250" s="263"/>
      <c r="AW250" s="353"/>
      <c r="AX250" s="353"/>
      <c r="AY250" s="266"/>
      <c r="AZ250" s="266"/>
      <c r="BA250" s="266"/>
    </row>
    <row r="251" spans="1:55" x14ac:dyDescent="0.3">
      <c r="A251" s="222">
        <v>2026</v>
      </c>
      <c r="B251" s="222" t="s">
        <v>35</v>
      </c>
      <c r="C251" s="370" t="s">
        <v>344</v>
      </c>
      <c r="D251" s="194" t="s">
        <v>345</v>
      </c>
      <c r="E251" s="194" t="s">
        <v>299</v>
      </c>
      <c r="F251" s="370" t="s">
        <v>596</v>
      </c>
      <c r="G251" s="343">
        <v>9750000</v>
      </c>
      <c r="H251" s="284">
        <v>0.33100000000000002</v>
      </c>
      <c r="I251" s="211" t="s">
        <v>503</v>
      </c>
      <c r="J251" s="352">
        <v>266</v>
      </c>
      <c r="K251" s="343"/>
      <c r="L251" s="341" t="s">
        <v>48</v>
      </c>
      <c r="M251" s="374" t="s">
        <v>504</v>
      </c>
      <c r="N251" s="211" t="s">
        <v>35</v>
      </c>
      <c r="O251" s="211"/>
      <c r="P251" s="211"/>
      <c r="Q251" s="255"/>
      <c r="R251" s="255"/>
      <c r="S251" s="370" t="s">
        <v>346</v>
      </c>
      <c r="T251" s="370"/>
      <c r="U251" s="211"/>
      <c r="V251" s="211"/>
      <c r="W251" s="211"/>
      <c r="X251" s="211"/>
      <c r="Y251" s="211"/>
      <c r="Z251" s="211"/>
      <c r="AA251" s="255"/>
      <c r="AB251" s="211"/>
      <c r="AC251" s="255"/>
      <c r="AD251" s="210"/>
      <c r="AE251" s="211"/>
      <c r="AF251" s="211"/>
      <c r="AG251" s="211"/>
      <c r="AH251" s="211"/>
      <c r="AI251" s="211"/>
      <c r="AJ251" s="211"/>
      <c r="AK251" s="211"/>
      <c r="AL251" s="211"/>
      <c r="AM251" s="211"/>
      <c r="AN251" s="211"/>
      <c r="AO251" s="211"/>
      <c r="AP251" s="211"/>
      <c r="AQ251" s="211"/>
      <c r="AR251" s="211"/>
      <c r="AS251" s="255"/>
      <c r="AT251" s="210"/>
      <c r="AU251" s="211"/>
      <c r="AV251" s="255"/>
      <c r="AW251" s="210"/>
      <c r="AX251" s="210"/>
      <c r="AY251" s="266"/>
      <c r="AZ251" s="266"/>
      <c r="BA251" s="266"/>
    </row>
    <row r="252" spans="1:55" x14ac:dyDescent="0.3">
      <c r="A252" s="222">
        <v>2025</v>
      </c>
      <c r="B252" s="222" t="s">
        <v>35</v>
      </c>
      <c r="C252" s="410" t="s">
        <v>98</v>
      </c>
      <c r="D252" s="410" t="s">
        <v>99</v>
      </c>
      <c r="E252" s="410" t="s">
        <v>75</v>
      </c>
      <c r="F252" s="423" t="s">
        <v>186</v>
      </c>
      <c r="G252" s="248">
        <v>20200000</v>
      </c>
      <c r="H252" s="249">
        <v>0.245</v>
      </c>
      <c r="I252" s="250" t="s">
        <v>503</v>
      </c>
      <c r="J252" s="251">
        <f>130+70</f>
        <v>200</v>
      </c>
      <c r="K252" s="252">
        <v>0.98</v>
      </c>
      <c r="L252" s="250" t="s">
        <v>32</v>
      </c>
      <c r="M252" s="250" t="s">
        <v>100</v>
      </c>
      <c r="N252" s="211" t="str">
        <f>IF(L252="Broker","","Yes")</f>
        <v/>
      </c>
      <c r="O252" s="253">
        <v>3.17</v>
      </c>
      <c r="P252" s="250">
        <v>2025</v>
      </c>
      <c r="Q252" s="254">
        <v>45712</v>
      </c>
      <c r="R252" s="254">
        <v>45733</v>
      </c>
      <c r="S252" s="282" t="s">
        <v>745</v>
      </c>
      <c r="T252" s="282"/>
      <c r="U252" s="263">
        <v>45734</v>
      </c>
      <c r="V252" s="263" t="s">
        <v>506</v>
      </c>
      <c r="W252" s="263"/>
      <c r="X252" s="263"/>
      <c r="Y252" s="258">
        <v>60</v>
      </c>
      <c r="Z252" s="258">
        <v>15</v>
      </c>
      <c r="AA252" s="256" t="str">
        <f>IF(X252="","",IF(Z252=OR(0,""),Y252+X252,X252+Y252+Z252))</f>
        <v/>
      </c>
      <c r="AB252" s="258">
        <v>30</v>
      </c>
      <c r="AC252" s="256" t="str">
        <f>IF(AA252="","",AB252+AA252)</f>
        <v/>
      </c>
      <c r="AD252" s="258">
        <f>IF(R252="","",$A$1-R252)</f>
        <v>385</v>
      </c>
      <c r="AE252" s="258"/>
      <c r="AF252" s="258"/>
      <c r="AG252" s="278"/>
      <c r="AH252" s="260" t="s">
        <v>746</v>
      </c>
      <c r="AI252" s="258"/>
      <c r="AJ252" s="278"/>
      <c r="AK252" s="260"/>
      <c r="AL252" s="258"/>
      <c r="AM252" s="278"/>
      <c r="AN252" s="260" t="s">
        <v>509</v>
      </c>
      <c r="AO252" s="258"/>
      <c r="AP252" s="258"/>
      <c r="AQ252" s="258" t="s">
        <v>510</v>
      </c>
      <c r="AR252" s="258">
        <v>3</v>
      </c>
      <c r="AS252" s="263" t="str">
        <f>IF(W252="","TBD",W252+AR252)</f>
        <v>TBD</v>
      </c>
      <c r="AT252" s="353">
        <v>400000</v>
      </c>
      <c r="AU252" s="258">
        <v>3</v>
      </c>
      <c r="AV252" s="263" t="str">
        <f>IF(AA252="","TBD",AA252+AU252)</f>
        <v>TBD</v>
      </c>
      <c r="AW252" s="288">
        <v>400000</v>
      </c>
      <c r="AX252" s="289">
        <f>SUM(AW252,AT252)</f>
        <v>800000</v>
      </c>
    </row>
    <row r="253" spans="1:55" x14ac:dyDescent="0.3">
      <c r="A253" s="222">
        <v>2024</v>
      </c>
      <c r="B253" s="222" t="s">
        <v>35</v>
      </c>
      <c r="C253" s="410" t="s">
        <v>59</v>
      </c>
      <c r="D253" s="410" t="s">
        <v>747</v>
      </c>
      <c r="E253" s="410" t="s">
        <v>130</v>
      </c>
      <c r="F253" s="424" t="s">
        <v>186</v>
      </c>
      <c r="G253" s="248">
        <v>12000000</v>
      </c>
      <c r="H253" s="249">
        <v>0.247</v>
      </c>
      <c r="I253" s="250" t="s">
        <v>503</v>
      </c>
      <c r="J253" s="251">
        <f>115+35</f>
        <v>150</v>
      </c>
      <c r="K253" s="252">
        <v>0.96</v>
      </c>
      <c r="L253" s="250" t="s">
        <v>48</v>
      </c>
      <c r="M253" s="250" t="s">
        <v>100</v>
      </c>
      <c r="N253" s="211" t="str">
        <f>IF(L253="Broker","","Yes")</f>
        <v>Yes</v>
      </c>
      <c r="O253" s="253">
        <v>2.12</v>
      </c>
      <c r="P253" s="250">
        <v>2025</v>
      </c>
      <c r="Q253" s="254">
        <v>45727</v>
      </c>
      <c r="R253" s="254"/>
      <c r="S253" s="282" t="s">
        <v>748</v>
      </c>
      <c r="T253" s="282"/>
      <c r="U253" s="258"/>
      <c r="V253" s="258"/>
      <c r="W253" s="258"/>
      <c r="X253" s="258"/>
      <c r="Y253" s="258"/>
      <c r="Z253" s="258"/>
      <c r="AA253" s="256" t="str">
        <f>IF(X253="","",IF(Z253=OR(0,""),Y253+X253,X253+Y253+Z253))</f>
        <v/>
      </c>
      <c r="AB253" s="258"/>
      <c r="AC253" s="256"/>
      <c r="AD253" s="258" t="str">
        <f>IF(R253="","",$A$1-R253)</f>
        <v/>
      </c>
      <c r="AE253" s="258"/>
      <c r="AF253" s="258"/>
      <c r="AG253" s="258"/>
      <c r="AH253" s="258"/>
      <c r="AI253" s="258"/>
      <c r="AJ253" s="258"/>
      <c r="AK253" s="258"/>
      <c r="AL253" s="258"/>
      <c r="AM253" s="258"/>
      <c r="AN253" s="258"/>
      <c r="AO253" s="258"/>
      <c r="AP253" s="258"/>
      <c r="AQ253" s="258"/>
      <c r="AR253" s="258"/>
      <c r="AS253" s="263"/>
      <c r="AT253" s="353"/>
      <c r="AU253" s="258"/>
      <c r="AV253" s="263"/>
      <c r="AW253" s="353"/>
      <c r="AX253" s="353"/>
    </row>
    <row r="254" spans="1:55" s="266" customFormat="1" x14ac:dyDescent="0.3">
      <c r="A254" s="222">
        <v>2025</v>
      </c>
      <c r="B254" s="222" t="s">
        <v>35</v>
      </c>
      <c r="C254" s="410" t="s">
        <v>749</v>
      </c>
      <c r="D254" s="410" t="s">
        <v>750</v>
      </c>
      <c r="E254" s="410" t="s">
        <v>31</v>
      </c>
      <c r="F254" s="424" t="s">
        <v>186</v>
      </c>
      <c r="G254" s="248">
        <v>19000000</v>
      </c>
      <c r="H254" s="252" t="s">
        <v>42</v>
      </c>
      <c r="I254" s="250" t="s">
        <v>503</v>
      </c>
      <c r="J254" s="251">
        <v>50</v>
      </c>
      <c r="K254" s="252">
        <v>1</v>
      </c>
      <c r="L254" s="250" t="s">
        <v>32</v>
      </c>
      <c r="M254" s="250" t="s">
        <v>100</v>
      </c>
      <c r="N254" s="250"/>
      <c r="O254" s="253">
        <v>2.23</v>
      </c>
      <c r="P254" s="250">
        <v>2025</v>
      </c>
      <c r="Q254" s="254"/>
      <c r="R254" s="254"/>
      <c r="S254" s="247"/>
      <c r="T254" s="247"/>
      <c r="U254" s="250"/>
      <c r="V254" s="250"/>
      <c r="W254" s="250"/>
      <c r="X254" s="250"/>
      <c r="Y254" s="250"/>
      <c r="Z254" s="250"/>
      <c r="AA254" s="254"/>
      <c r="AB254" s="250"/>
      <c r="AC254" s="254"/>
      <c r="AD254" s="358"/>
      <c r="AE254" s="258"/>
      <c r="AF254" s="258"/>
      <c r="AG254" s="258"/>
      <c r="AH254" s="258"/>
      <c r="AI254" s="258"/>
      <c r="AJ254" s="258"/>
      <c r="AK254" s="258"/>
      <c r="AL254" s="258"/>
      <c r="AM254" s="258"/>
      <c r="AN254" s="258"/>
      <c r="AO254" s="258"/>
      <c r="AP254" s="258"/>
      <c r="AQ254" s="250"/>
      <c r="AR254" s="250"/>
      <c r="AS254" s="254"/>
      <c r="AT254" s="358"/>
      <c r="AU254" s="250"/>
      <c r="AV254" s="254"/>
      <c r="AW254" s="358"/>
      <c r="AX254" s="358"/>
    </row>
    <row r="255" spans="1:55" x14ac:dyDescent="0.3">
      <c r="A255" s="222">
        <v>2024</v>
      </c>
      <c r="B255" s="222" t="s">
        <v>35</v>
      </c>
      <c r="C255" s="425" t="s">
        <v>439</v>
      </c>
      <c r="D255" s="409" t="s">
        <v>60</v>
      </c>
      <c r="E255" s="409" t="s">
        <v>130</v>
      </c>
      <c r="F255" s="424" t="s">
        <v>186</v>
      </c>
      <c r="G255" s="283">
        <v>19000000</v>
      </c>
      <c r="H255" s="252" t="s">
        <v>42</v>
      </c>
      <c r="I255" s="258" t="s">
        <v>503</v>
      </c>
      <c r="J255" s="258">
        <v>380</v>
      </c>
      <c r="K255" s="286">
        <v>0.92</v>
      </c>
      <c r="L255" s="258" t="s">
        <v>48</v>
      </c>
      <c r="M255" s="258" t="s">
        <v>100</v>
      </c>
      <c r="N255" s="211" t="s">
        <v>35</v>
      </c>
      <c r="O255" s="211">
        <v>25</v>
      </c>
      <c r="P255" s="211"/>
      <c r="Q255" s="255"/>
      <c r="R255" s="255"/>
      <c r="S255" s="370" t="s">
        <v>751</v>
      </c>
      <c r="T255" s="370"/>
      <c r="U255" s="211"/>
      <c r="V255" s="211"/>
      <c r="W255" s="211"/>
      <c r="X255" s="211"/>
      <c r="Y255" s="211"/>
      <c r="Z255" s="211"/>
      <c r="AA255" s="255"/>
      <c r="AB255" s="211"/>
      <c r="AC255" s="255"/>
      <c r="AD255" s="210"/>
      <c r="AE255" s="211"/>
      <c r="AF255" s="211"/>
      <c r="AG255" s="211"/>
      <c r="AH255" s="211"/>
      <c r="AI255" s="211"/>
      <c r="AJ255" s="211"/>
      <c r="AK255" s="211"/>
      <c r="AL255" s="211"/>
      <c r="AM255" s="211"/>
      <c r="AN255" s="211"/>
      <c r="AO255" s="211"/>
      <c r="AP255" s="211"/>
      <c r="AQ255" s="211"/>
      <c r="AR255" s="211"/>
      <c r="AS255" s="255"/>
      <c r="AT255" s="210"/>
      <c r="AU255" s="211"/>
      <c r="AV255" s="255"/>
      <c r="AW255" s="210"/>
      <c r="AX255" s="210"/>
      <c r="AY255" s="266"/>
      <c r="AZ255" s="266"/>
      <c r="BA255" s="266"/>
      <c r="BB255" s="266"/>
    </row>
    <row r="256" spans="1:55" x14ac:dyDescent="0.3">
      <c r="A256" s="222">
        <v>2024</v>
      </c>
      <c r="B256" s="222" t="s">
        <v>35</v>
      </c>
      <c r="C256" s="425" t="s">
        <v>316</v>
      </c>
      <c r="D256" s="425" t="s">
        <v>317</v>
      </c>
      <c r="E256" s="425" t="s">
        <v>252</v>
      </c>
      <c r="F256" s="426" t="s">
        <v>186</v>
      </c>
      <c r="G256" s="371">
        <v>10000000</v>
      </c>
      <c r="H256" s="252" t="s">
        <v>42</v>
      </c>
      <c r="I256" s="211" t="s">
        <v>503</v>
      </c>
      <c r="J256" s="285">
        <v>210</v>
      </c>
      <c r="K256" s="219"/>
      <c r="L256" s="211" t="s">
        <v>48</v>
      </c>
      <c r="M256" s="211" t="s">
        <v>100</v>
      </c>
      <c r="N256" s="211" t="s">
        <v>35</v>
      </c>
      <c r="O256" s="211"/>
      <c r="P256" s="211"/>
      <c r="Q256" s="255"/>
      <c r="R256" s="255"/>
      <c r="S256" s="370" t="s">
        <v>318</v>
      </c>
      <c r="T256" s="370"/>
      <c r="U256" s="211"/>
      <c r="V256" s="211"/>
      <c r="W256" s="211"/>
      <c r="X256" s="211"/>
      <c r="Y256" s="211"/>
      <c r="Z256" s="211"/>
      <c r="AA256" s="255"/>
      <c r="AB256" s="211"/>
      <c r="AC256" s="255"/>
      <c r="AD256" s="210"/>
      <c r="AE256" s="211"/>
      <c r="AF256" s="211"/>
      <c r="AG256" s="211"/>
      <c r="AH256" s="211"/>
      <c r="AI256" s="211"/>
      <c r="AJ256" s="211"/>
      <c r="AK256" s="211"/>
      <c r="AL256" s="211"/>
      <c r="AM256" s="211"/>
      <c r="AN256" s="211"/>
      <c r="AO256" s="211"/>
      <c r="AP256" s="211"/>
      <c r="AQ256" s="211"/>
      <c r="AR256" s="211"/>
      <c r="AS256" s="255"/>
      <c r="AT256" s="210"/>
      <c r="AU256" s="211"/>
      <c r="AV256" s="255"/>
      <c r="AW256" s="210"/>
      <c r="AX256" s="210"/>
      <c r="AY256" s="266"/>
      <c r="AZ256" s="266"/>
      <c r="BA256" s="266"/>
    </row>
    <row r="257" spans="1:56" x14ac:dyDescent="0.3">
      <c r="A257" s="222">
        <v>2023</v>
      </c>
      <c r="B257" s="222" t="s">
        <v>35</v>
      </c>
      <c r="C257" s="425" t="s">
        <v>233</v>
      </c>
      <c r="D257" s="425" t="s">
        <v>234</v>
      </c>
      <c r="E257" s="425" t="s">
        <v>75</v>
      </c>
      <c r="F257" s="426" t="s">
        <v>186</v>
      </c>
      <c r="G257" s="371">
        <v>2500000</v>
      </c>
      <c r="H257" s="252" t="s">
        <v>42</v>
      </c>
      <c r="I257" s="211" t="s">
        <v>503</v>
      </c>
      <c r="J257" s="285">
        <v>100</v>
      </c>
      <c r="K257" s="219">
        <v>1</v>
      </c>
      <c r="L257" s="211" t="s">
        <v>48</v>
      </c>
      <c r="M257" s="211" t="s">
        <v>547</v>
      </c>
      <c r="N257" s="211" t="s">
        <v>35</v>
      </c>
      <c r="O257" s="211"/>
      <c r="P257" s="211"/>
      <c r="Q257" s="255"/>
      <c r="R257" s="255"/>
      <c r="S257" s="370" t="s">
        <v>236</v>
      </c>
      <c r="T257" s="370"/>
      <c r="U257" s="211"/>
      <c r="V257" s="211"/>
      <c r="W257" s="211"/>
      <c r="X257" s="211"/>
      <c r="Y257" s="211"/>
      <c r="Z257" s="211"/>
      <c r="AA257" s="255"/>
      <c r="AB257" s="211"/>
      <c r="AC257" s="255"/>
      <c r="AD257" s="210"/>
      <c r="AE257" s="211"/>
      <c r="AF257" s="211"/>
      <c r="AG257" s="211"/>
      <c r="AH257" s="211"/>
      <c r="AI257" s="211"/>
      <c r="AJ257" s="211"/>
      <c r="AK257" s="211"/>
      <c r="AL257" s="211"/>
      <c r="AM257" s="211"/>
      <c r="AN257" s="211"/>
      <c r="AO257" s="211"/>
      <c r="AP257" s="211"/>
      <c r="AQ257" s="211"/>
      <c r="AR257" s="211"/>
      <c r="AS257" s="255"/>
      <c r="AT257" s="210"/>
      <c r="AU257" s="211"/>
      <c r="AV257" s="255"/>
      <c r="AW257" s="210"/>
      <c r="AX257" s="210"/>
      <c r="AY257" s="266"/>
      <c r="AZ257" s="266"/>
      <c r="BA257" s="266"/>
      <c r="BB257" s="266"/>
    </row>
    <row r="258" spans="1:56" x14ac:dyDescent="0.3">
      <c r="A258" s="222">
        <v>2023</v>
      </c>
      <c r="B258" s="222" t="s">
        <v>35</v>
      </c>
      <c r="C258" s="425" t="s">
        <v>185</v>
      </c>
      <c r="D258" s="425" t="s">
        <v>187</v>
      </c>
      <c r="E258" s="425" t="s">
        <v>188</v>
      </c>
      <c r="F258" s="426" t="s">
        <v>186</v>
      </c>
      <c r="G258" s="371">
        <v>15000000</v>
      </c>
      <c r="H258" s="252" t="s">
        <v>42</v>
      </c>
      <c r="I258" s="211" t="s">
        <v>556</v>
      </c>
      <c r="J258" s="285"/>
      <c r="K258" s="219">
        <v>0.6</v>
      </c>
      <c r="L258" s="211" t="s">
        <v>32</v>
      </c>
      <c r="M258" s="211" t="s">
        <v>100</v>
      </c>
      <c r="N258" s="211" t="s">
        <v>35</v>
      </c>
      <c r="O258" s="211"/>
      <c r="P258" s="211"/>
      <c r="Q258" s="255"/>
      <c r="R258" s="255"/>
      <c r="S258" s="370" t="s">
        <v>190</v>
      </c>
      <c r="T258" s="370"/>
      <c r="U258" s="211"/>
      <c r="V258" s="211"/>
      <c r="W258" s="211"/>
      <c r="X258" s="211"/>
      <c r="Y258" s="211"/>
      <c r="Z258" s="211"/>
      <c r="AA258" s="255"/>
      <c r="AB258" s="211"/>
      <c r="AC258" s="255"/>
      <c r="AD258" s="210"/>
      <c r="AE258" s="211"/>
      <c r="AF258" s="211"/>
      <c r="AG258" s="211"/>
      <c r="AH258" s="211"/>
      <c r="AI258" s="211"/>
      <c r="AJ258" s="211"/>
      <c r="AK258" s="211"/>
      <c r="AL258" s="211"/>
      <c r="AM258" s="211"/>
      <c r="AN258" s="211"/>
      <c r="AO258" s="211"/>
      <c r="AP258" s="211"/>
      <c r="AQ258" s="211"/>
      <c r="AR258" s="211"/>
      <c r="AS258" s="255"/>
      <c r="AT258" s="210"/>
      <c r="AU258" s="211"/>
      <c r="AV258" s="255"/>
      <c r="AW258" s="210"/>
      <c r="AX258" s="210"/>
      <c r="AY258" s="266"/>
      <c r="AZ258" s="266"/>
      <c r="BA258" s="266"/>
      <c r="BB258" s="266"/>
    </row>
    <row r="259" spans="1:56" x14ac:dyDescent="0.3">
      <c r="A259" s="222">
        <v>2023</v>
      </c>
      <c r="B259" s="222" t="s">
        <v>35</v>
      </c>
      <c r="C259" s="425" t="s">
        <v>194</v>
      </c>
      <c r="D259" s="425" t="s">
        <v>124</v>
      </c>
      <c r="E259" s="425" t="s">
        <v>31</v>
      </c>
      <c r="F259" s="426" t="s">
        <v>186</v>
      </c>
      <c r="G259" s="371">
        <v>9000000</v>
      </c>
      <c r="H259" s="252" t="s">
        <v>42</v>
      </c>
      <c r="I259" s="211" t="s">
        <v>503</v>
      </c>
      <c r="J259" s="285"/>
      <c r="K259" s="219">
        <v>1</v>
      </c>
      <c r="L259" s="380" t="s">
        <v>48</v>
      </c>
      <c r="M259" s="211"/>
      <c r="N259" s="211" t="s">
        <v>35</v>
      </c>
      <c r="O259" s="211"/>
      <c r="P259" s="211"/>
      <c r="Q259" s="255"/>
      <c r="R259" s="255"/>
      <c r="S259" s="370" t="s">
        <v>195</v>
      </c>
      <c r="T259" s="370"/>
      <c r="U259" s="211"/>
      <c r="V259" s="211"/>
      <c r="W259" s="211"/>
      <c r="X259" s="211"/>
      <c r="Y259" s="211"/>
      <c r="Z259" s="211"/>
      <c r="AA259" s="255"/>
      <c r="AB259" s="211"/>
      <c r="AC259" s="255"/>
      <c r="AD259" s="210"/>
      <c r="AE259" s="211"/>
      <c r="AF259" s="211"/>
      <c r="AG259" s="211"/>
      <c r="AH259" s="211"/>
      <c r="AI259" s="211"/>
      <c r="AJ259" s="211"/>
      <c r="AK259" s="211"/>
      <c r="AL259" s="211"/>
      <c r="AM259" s="211"/>
      <c r="AN259" s="211"/>
      <c r="AO259" s="211"/>
      <c r="AP259" s="211"/>
      <c r="AQ259" s="211"/>
      <c r="AR259" s="211"/>
      <c r="AS259" s="255"/>
      <c r="AT259" s="210"/>
      <c r="AU259" s="211"/>
      <c r="AV259" s="255"/>
      <c r="AW259" s="210"/>
      <c r="AX259" s="210"/>
      <c r="AY259" s="266"/>
      <c r="AZ259" s="266"/>
      <c r="BA259" s="266"/>
      <c r="BB259" s="266"/>
    </row>
    <row r="260" spans="1:56" x14ac:dyDescent="0.3">
      <c r="A260" s="222">
        <v>2024</v>
      </c>
      <c r="B260" s="222" t="s">
        <v>35</v>
      </c>
      <c r="C260" s="425" t="s">
        <v>321</v>
      </c>
      <c r="D260" s="425" t="s">
        <v>317</v>
      </c>
      <c r="E260" s="425" t="s">
        <v>252</v>
      </c>
      <c r="F260" s="426" t="s">
        <v>186</v>
      </c>
      <c r="G260" s="371">
        <v>7500000</v>
      </c>
      <c r="H260" s="252" t="s">
        <v>42</v>
      </c>
      <c r="I260" s="211" t="s">
        <v>503</v>
      </c>
      <c r="J260" s="285">
        <v>150</v>
      </c>
      <c r="K260" s="219"/>
      <c r="L260" s="211" t="s">
        <v>48</v>
      </c>
      <c r="M260" s="211" t="s">
        <v>100</v>
      </c>
      <c r="N260" s="211" t="s">
        <v>35</v>
      </c>
      <c r="O260" s="211"/>
      <c r="P260" s="211"/>
      <c r="Q260" s="255"/>
      <c r="R260" s="255"/>
      <c r="S260" s="370" t="s">
        <v>322</v>
      </c>
      <c r="T260" s="370"/>
      <c r="U260" s="211"/>
      <c r="V260" s="211"/>
      <c r="W260" s="211"/>
      <c r="X260" s="211"/>
      <c r="Y260" s="211"/>
      <c r="Z260" s="211"/>
      <c r="AA260" s="255"/>
      <c r="AB260" s="211"/>
      <c r="AC260" s="255"/>
      <c r="AD260" s="210"/>
      <c r="AE260" s="211"/>
      <c r="AF260" s="211"/>
      <c r="AG260" s="211"/>
      <c r="AH260" s="211"/>
      <c r="AI260" s="211"/>
      <c r="AJ260" s="211"/>
      <c r="AK260" s="211"/>
      <c r="AL260" s="211"/>
      <c r="AM260" s="211"/>
      <c r="AN260" s="211"/>
      <c r="AO260" s="211"/>
      <c r="AP260" s="211"/>
      <c r="AQ260" s="211"/>
      <c r="AR260" s="211"/>
      <c r="AS260" s="255"/>
      <c r="AT260" s="210"/>
      <c r="AU260" s="211"/>
      <c r="AV260" s="255"/>
      <c r="AW260" s="210"/>
      <c r="AX260" s="210"/>
      <c r="AY260" s="266"/>
      <c r="AZ260" s="266"/>
      <c r="BA260" s="266"/>
    </row>
    <row r="261" spans="1:56" x14ac:dyDescent="0.3">
      <c r="A261" s="222">
        <v>2024</v>
      </c>
      <c r="B261" s="222" t="s">
        <v>35</v>
      </c>
      <c r="C261" s="425" t="s">
        <v>323</v>
      </c>
      <c r="D261" s="425" t="s">
        <v>324</v>
      </c>
      <c r="E261" s="425" t="s">
        <v>325</v>
      </c>
      <c r="F261" s="426" t="s">
        <v>186</v>
      </c>
      <c r="G261" s="371" t="s">
        <v>314</v>
      </c>
      <c r="H261" s="252" t="s">
        <v>42</v>
      </c>
      <c r="I261" s="211" t="s">
        <v>503</v>
      </c>
      <c r="J261" s="285">
        <v>200</v>
      </c>
      <c r="K261" s="219"/>
      <c r="L261" s="211" t="s">
        <v>32</v>
      </c>
      <c r="M261" s="211" t="s">
        <v>100</v>
      </c>
      <c r="N261" s="211"/>
      <c r="O261" s="211"/>
      <c r="P261" s="211"/>
      <c r="Q261" s="255"/>
      <c r="R261" s="255"/>
      <c r="S261" s="370" t="s">
        <v>326</v>
      </c>
      <c r="T261" s="370"/>
      <c r="U261" s="211"/>
      <c r="V261" s="211"/>
      <c r="W261" s="211"/>
      <c r="X261" s="211"/>
      <c r="Y261" s="211"/>
      <c r="Z261" s="211"/>
      <c r="AA261" s="255"/>
      <c r="AB261" s="211"/>
      <c r="AC261" s="255"/>
      <c r="AD261" s="210"/>
      <c r="AE261" s="211"/>
      <c r="AF261" s="211"/>
      <c r="AG261" s="211"/>
      <c r="AH261" s="211"/>
      <c r="AI261" s="211"/>
      <c r="AJ261" s="211"/>
      <c r="AK261" s="211"/>
      <c r="AL261" s="211"/>
      <c r="AM261" s="211"/>
      <c r="AN261" s="211"/>
      <c r="AO261" s="211"/>
      <c r="AP261" s="211"/>
      <c r="AQ261" s="211"/>
      <c r="AR261" s="211"/>
      <c r="AS261" s="255"/>
      <c r="AT261" s="210"/>
      <c r="AU261" s="211"/>
      <c r="AV261" s="255"/>
      <c r="AW261" s="210"/>
      <c r="AX261" s="210"/>
      <c r="AY261" s="266"/>
      <c r="AZ261" s="266"/>
      <c r="BA261" s="266"/>
    </row>
    <row r="262" spans="1:56" x14ac:dyDescent="0.3">
      <c r="A262" s="222">
        <v>2024</v>
      </c>
      <c r="B262" s="222" t="s">
        <v>35</v>
      </c>
      <c r="C262" s="425" t="s">
        <v>752</v>
      </c>
      <c r="D262" s="425" t="s">
        <v>269</v>
      </c>
      <c r="E262" s="425" t="s">
        <v>31</v>
      </c>
      <c r="F262" s="426" t="s">
        <v>186</v>
      </c>
      <c r="G262" s="371">
        <v>8500000</v>
      </c>
      <c r="H262" s="252" t="s">
        <v>42</v>
      </c>
      <c r="I262" s="211" t="s">
        <v>503</v>
      </c>
      <c r="J262" s="285">
        <v>176</v>
      </c>
      <c r="K262" s="219"/>
      <c r="L262" s="211" t="s">
        <v>32</v>
      </c>
      <c r="M262" s="211" t="s">
        <v>100</v>
      </c>
      <c r="N262" s="211"/>
      <c r="O262" s="211"/>
      <c r="P262" s="211"/>
      <c r="Q262" s="255"/>
      <c r="R262" s="255"/>
      <c r="S262" s="370" t="s">
        <v>753</v>
      </c>
      <c r="T262" s="370"/>
      <c r="U262" s="211"/>
      <c r="V262" s="211"/>
      <c r="W262" s="211"/>
      <c r="X262" s="211"/>
      <c r="Y262" s="211"/>
      <c r="Z262" s="211"/>
      <c r="AA262" s="255"/>
      <c r="AB262" s="211"/>
      <c r="AC262" s="255"/>
      <c r="AD262" s="210"/>
      <c r="AE262" s="211"/>
      <c r="AF262" s="211"/>
      <c r="AG262" s="211"/>
      <c r="AH262" s="211"/>
      <c r="AI262" s="211"/>
      <c r="AJ262" s="211"/>
      <c r="AK262" s="211"/>
      <c r="AL262" s="211"/>
      <c r="AM262" s="211"/>
      <c r="AN262" s="211"/>
      <c r="AO262" s="211"/>
      <c r="AP262" s="211"/>
      <c r="AQ262" s="211"/>
      <c r="AR262" s="211"/>
      <c r="AS262" s="255"/>
      <c r="AT262" s="210"/>
      <c r="AU262" s="211"/>
      <c r="AV262" s="255"/>
      <c r="AW262" s="210"/>
      <c r="AX262" s="210"/>
      <c r="AY262" s="266"/>
      <c r="AZ262" s="266"/>
      <c r="BA262" s="266"/>
    </row>
    <row r="263" spans="1:56" x14ac:dyDescent="0.3">
      <c r="A263" s="222">
        <v>2024</v>
      </c>
      <c r="B263" s="222" t="s">
        <v>35</v>
      </c>
      <c r="C263" s="425" t="s">
        <v>330</v>
      </c>
      <c r="D263" s="409" t="s">
        <v>331</v>
      </c>
      <c r="E263" s="409" t="s">
        <v>31</v>
      </c>
      <c r="F263" s="426" t="s">
        <v>186</v>
      </c>
      <c r="G263" s="283">
        <v>30000000</v>
      </c>
      <c r="H263" s="252" t="s">
        <v>42</v>
      </c>
      <c r="I263" s="258" t="s">
        <v>503</v>
      </c>
      <c r="J263" s="285">
        <v>400</v>
      </c>
      <c r="K263" s="286">
        <v>0.98</v>
      </c>
      <c r="L263" s="258" t="s">
        <v>48</v>
      </c>
      <c r="M263" s="258" t="s">
        <v>100</v>
      </c>
      <c r="N263" s="211"/>
      <c r="O263" s="211"/>
      <c r="P263" s="211"/>
      <c r="Q263" s="255"/>
      <c r="R263" s="255"/>
      <c r="S263" s="370" t="s">
        <v>332</v>
      </c>
      <c r="T263" s="370"/>
      <c r="U263" s="211"/>
      <c r="V263" s="211"/>
      <c r="W263" s="211"/>
      <c r="X263" s="211"/>
      <c r="Y263" s="211"/>
      <c r="Z263" s="211"/>
      <c r="AA263" s="255"/>
      <c r="AB263" s="211"/>
      <c r="AC263" s="255"/>
      <c r="AD263" s="210"/>
      <c r="AE263" s="211"/>
      <c r="AF263" s="211"/>
      <c r="AG263" s="211"/>
      <c r="AH263" s="211"/>
      <c r="AI263" s="211"/>
      <c r="AJ263" s="211"/>
      <c r="AK263" s="211"/>
      <c r="AL263" s="211"/>
      <c r="AM263" s="211"/>
      <c r="AN263" s="211"/>
      <c r="AO263" s="211"/>
      <c r="AP263" s="211"/>
      <c r="AQ263" s="211"/>
      <c r="AR263" s="211"/>
      <c r="AS263" s="255"/>
      <c r="AT263" s="210"/>
      <c r="AU263" s="211"/>
      <c r="AV263" s="255"/>
      <c r="AW263" s="210"/>
      <c r="AX263" s="210"/>
      <c r="AY263" s="266"/>
      <c r="AZ263" s="266"/>
      <c r="BA263" s="266"/>
    </row>
    <row r="264" spans="1:56" x14ac:dyDescent="0.3">
      <c r="A264" s="222">
        <v>2023</v>
      </c>
      <c r="B264" s="222"/>
      <c r="C264" s="425" t="s">
        <v>754</v>
      </c>
      <c r="D264" s="425" t="s">
        <v>133</v>
      </c>
      <c r="E264" s="425" t="s">
        <v>57</v>
      </c>
      <c r="F264" s="424" t="s">
        <v>186</v>
      </c>
      <c r="G264" s="371">
        <v>45000000</v>
      </c>
      <c r="H264" s="252" t="s">
        <v>42</v>
      </c>
      <c r="I264" s="211" t="s">
        <v>503</v>
      </c>
      <c r="J264" s="285"/>
      <c r="K264" s="219">
        <v>0.93</v>
      </c>
      <c r="L264" s="211" t="s">
        <v>48</v>
      </c>
      <c r="M264" s="211" t="s">
        <v>100</v>
      </c>
      <c r="N264" s="211" t="s">
        <v>35</v>
      </c>
      <c r="O264" s="211">
        <v>30</v>
      </c>
      <c r="P264" s="211"/>
      <c r="Q264" s="255"/>
      <c r="R264" s="255"/>
      <c r="S264" s="370" t="s">
        <v>755</v>
      </c>
      <c r="T264" s="370"/>
      <c r="U264" s="211"/>
      <c r="V264" s="211"/>
      <c r="W264" s="211"/>
      <c r="X264" s="211"/>
      <c r="Y264" s="211"/>
      <c r="Z264" s="211"/>
      <c r="AA264" s="255"/>
      <c r="AB264" s="211"/>
      <c r="AC264" s="255"/>
      <c r="AD264" s="210"/>
      <c r="AE264" s="211"/>
      <c r="AF264" s="211"/>
      <c r="AG264" s="211"/>
      <c r="AH264" s="211"/>
      <c r="AI264" s="211"/>
      <c r="AJ264" s="211"/>
      <c r="AK264" s="211"/>
      <c r="AL264" s="211"/>
      <c r="AM264" s="211"/>
      <c r="AN264" s="211"/>
      <c r="AO264" s="211"/>
      <c r="AP264" s="211"/>
      <c r="AQ264" s="211"/>
      <c r="AR264" s="211"/>
      <c r="AS264" s="255"/>
      <c r="AT264" s="210"/>
      <c r="AU264" s="211"/>
      <c r="AV264" s="255"/>
      <c r="AW264" s="210"/>
      <c r="AX264" s="210"/>
    </row>
    <row r="265" spans="1:56" x14ac:dyDescent="0.3">
      <c r="A265" s="222">
        <v>2023</v>
      </c>
      <c r="B265" s="222" t="s">
        <v>35</v>
      </c>
      <c r="C265" s="427" t="s">
        <v>756</v>
      </c>
      <c r="D265" s="427" t="s">
        <v>757</v>
      </c>
      <c r="E265" s="427" t="s">
        <v>426</v>
      </c>
      <c r="F265" s="424" t="s">
        <v>186</v>
      </c>
      <c r="G265" s="398">
        <v>28000000</v>
      </c>
      <c r="H265" s="252" t="s">
        <v>42</v>
      </c>
      <c r="I265" s="380" t="s">
        <v>503</v>
      </c>
      <c r="J265" s="285"/>
      <c r="K265" s="379">
        <v>1</v>
      </c>
      <c r="L265" s="380" t="s">
        <v>48</v>
      </c>
      <c r="M265" s="380" t="s">
        <v>553</v>
      </c>
      <c r="N265" s="211" t="s">
        <v>35</v>
      </c>
      <c r="O265" s="211">
        <v>28</v>
      </c>
      <c r="P265" s="211"/>
      <c r="Q265" s="255"/>
      <c r="R265" s="255"/>
      <c r="S265" s="370" t="s">
        <v>758</v>
      </c>
      <c r="T265" s="370"/>
      <c r="U265" s="211"/>
      <c r="V265" s="211"/>
      <c r="W265" s="211"/>
      <c r="X265" s="211"/>
      <c r="Y265" s="211"/>
      <c r="Z265" s="211"/>
      <c r="AA265" s="255"/>
      <c r="AB265" s="211"/>
      <c r="AC265" s="255"/>
      <c r="AD265" s="210"/>
      <c r="AE265" s="211"/>
      <c r="AF265" s="211"/>
      <c r="AG265" s="211"/>
      <c r="AH265" s="211"/>
      <c r="AI265" s="211"/>
      <c r="AJ265" s="211"/>
      <c r="AK265" s="211"/>
      <c r="AL265" s="211"/>
      <c r="AM265" s="211"/>
      <c r="AN265" s="211"/>
      <c r="AO265" s="211"/>
      <c r="AP265" s="211"/>
      <c r="AQ265" s="211"/>
      <c r="AR265" s="211"/>
      <c r="AS265" s="255"/>
      <c r="AT265" s="210"/>
      <c r="AU265" s="211"/>
      <c r="AV265" s="255"/>
      <c r="AW265" s="210"/>
      <c r="AX265" s="210"/>
    </row>
    <row r="266" spans="1:56" x14ac:dyDescent="0.3">
      <c r="A266" s="222">
        <v>2026</v>
      </c>
      <c r="B266" s="222" t="s">
        <v>35</v>
      </c>
      <c r="C266" s="354" t="s">
        <v>759</v>
      </c>
      <c r="D266" s="308" t="s">
        <v>760</v>
      </c>
      <c r="E266" s="309" t="s">
        <v>559</v>
      </c>
      <c r="F266" s="370" t="s">
        <v>596</v>
      </c>
      <c r="G266" s="310">
        <v>6000000</v>
      </c>
      <c r="H266" s="365" t="s">
        <v>42</v>
      </c>
      <c r="I266" s="312" t="s">
        <v>503</v>
      </c>
      <c r="J266" s="313">
        <v>35</v>
      </c>
      <c r="K266" s="314" t="s">
        <v>42</v>
      </c>
      <c r="L266" s="314" t="s">
        <v>32</v>
      </c>
      <c r="M266" s="355"/>
      <c r="N266" s="315"/>
      <c r="O266" s="366"/>
      <c r="P266" s="316"/>
      <c r="Q266" s="317"/>
      <c r="R266" s="317"/>
      <c r="S266" s="318"/>
      <c r="T266" s="356"/>
      <c r="U266" s="258"/>
      <c r="V266" s="258"/>
      <c r="W266" s="258"/>
      <c r="X266" s="258"/>
      <c r="Y266" s="258"/>
      <c r="Z266" s="258"/>
      <c r="AA266" s="263"/>
      <c r="AB266" s="258"/>
      <c r="AC266" s="263"/>
      <c r="AD266" s="353"/>
      <c r="AE266" s="258"/>
      <c r="AF266" s="258"/>
      <c r="AG266" s="258"/>
      <c r="AH266" s="258"/>
      <c r="AI266" s="258"/>
      <c r="AJ266" s="258"/>
      <c r="AK266" s="258"/>
      <c r="AL266" s="258"/>
      <c r="AM266" s="258"/>
      <c r="AN266" s="258"/>
      <c r="AO266" s="258"/>
      <c r="AP266" s="258"/>
      <c r="AQ266" s="258"/>
      <c r="AR266" s="258"/>
      <c r="AS266" s="263"/>
      <c r="AT266" s="353"/>
      <c r="AU266" s="258"/>
      <c r="AV266" s="263"/>
      <c r="AW266" s="353"/>
      <c r="AX266" s="353"/>
      <c r="AY266" s="266"/>
      <c r="AZ266" s="266"/>
      <c r="BA266" s="266"/>
      <c r="BB266" s="266"/>
      <c r="BC266" s="266"/>
    </row>
    <row r="267" spans="1:56" ht="16.2" thickBot="1" x14ac:dyDescent="0.35">
      <c r="A267" s="222"/>
      <c r="B267" s="222"/>
      <c r="C267" s="370"/>
      <c r="D267" s="370"/>
      <c r="E267" s="370"/>
      <c r="F267" s="370"/>
      <c r="G267" s="371"/>
      <c r="H267" s="219"/>
      <c r="I267" s="211"/>
      <c r="J267" s="285"/>
      <c r="K267" s="219"/>
      <c r="L267" s="211"/>
      <c r="M267" s="211"/>
      <c r="N267" s="211"/>
      <c r="O267" s="372"/>
      <c r="P267" s="211"/>
      <c r="Q267" s="255"/>
      <c r="R267" s="255"/>
      <c r="S267" s="370"/>
      <c r="T267" s="370"/>
      <c r="U267" s="211"/>
      <c r="V267" s="211"/>
      <c r="W267" s="211"/>
      <c r="X267" s="211"/>
      <c r="Y267" s="211"/>
      <c r="Z267" s="211"/>
      <c r="AA267" s="255"/>
      <c r="AB267" s="211"/>
      <c r="AC267" s="255"/>
      <c r="AD267" s="210"/>
      <c r="AE267" s="211"/>
      <c r="AF267" s="211"/>
      <c r="AG267" s="211"/>
      <c r="AH267" s="211"/>
      <c r="AI267" s="211"/>
      <c r="AJ267" s="211"/>
      <c r="AK267" s="211"/>
      <c r="AL267" s="211"/>
      <c r="AM267" s="211"/>
      <c r="AN267" s="211"/>
      <c r="AO267" s="211"/>
      <c r="AP267" s="211"/>
      <c r="AQ267" s="211"/>
      <c r="AR267" s="211"/>
      <c r="AS267" s="255"/>
      <c r="AT267" s="210"/>
      <c r="AU267" s="211"/>
      <c r="AV267" s="255"/>
      <c r="AW267" s="210"/>
      <c r="AX267" s="210"/>
    </row>
    <row r="268" spans="1:56" ht="16.2" thickTop="1" x14ac:dyDescent="0.3">
      <c r="A268" s="222"/>
      <c r="B268" s="222"/>
      <c r="C268" s="331" t="s">
        <v>761</v>
      </c>
      <c r="D268" s="332">
        <f>COUNTA(C116:C267)</f>
        <v>151</v>
      </c>
      <c r="E268" s="331"/>
      <c r="F268" s="332"/>
      <c r="G268" s="395">
        <f>SUM(G116:G267)</f>
        <v>1588199000</v>
      </c>
      <c r="H268" s="396"/>
      <c r="I268" s="332"/>
      <c r="J268" s="397">
        <f>SUM(J116:J267)</f>
        <v>36086</v>
      </c>
      <c r="K268" s="396"/>
      <c r="L268" s="324">
        <f>COUNTIF(L116:L267,"Off-Market")</f>
        <v>54</v>
      </c>
      <c r="M268" s="332"/>
      <c r="N268" s="332"/>
      <c r="O268" s="329">
        <f>SUM(O116:O267)</f>
        <v>789.22199999999998</v>
      </c>
      <c r="P268" s="324"/>
      <c r="Q268" s="330"/>
      <c r="R268" s="330"/>
      <c r="S268" s="331"/>
      <c r="T268" s="331"/>
      <c r="U268" s="332"/>
      <c r="V268" s="332"/>
      <c r="W268" s="332"/>
      <c r="X268" s="332"/>
      <c r="Y268" s="332"/>
      <c r="Z268" s="332"/>
      <c r="AA268" s="333"/>
      <c r="AB268" s="332"/>
      <c r="AC268" s="333"/>
      <c r="AD268" s="334"/>
      <c r="AE268" s="332"/>
      <c r="AF268" s="332"/>
      <c r="AG268" s="332"/>
      <c r="AH268" s="332"/>
      <c r="AI268" s="332"/>
      <c r="AJ268" s="332"/>
      <c r="AK268" s="332"/>
      <c r="AL268" s="332"/>
      <c r="AM268" s="332"/>
      <c r="AN268" s="332"/>
      <c r="AO268" s="332"/>
      <c r="AP268" s="332"/>
      <c r="AQ268" s="332"/>
      <c r="AR268" s="332"/>
      <c r="AS268" s="333"/>
      <c r="AT268" s="334"/>
      <c r="AU268" s="332"/>
      <c r="AV268" s="333"/>
      <c r="AW268" s="334"/>
      <c r="AX268" s="334"/>
    </row>
    <row r="269" spans="1:56" ht="15.75" hidden="1" customHeight="1" outlineLevel="1" x14ac:dyDescent="0.3">
      <c r="A269" s="290">
        <f>COUNTIF(B116:B267,"&lt;&gt;")</f>
        <v>107</v>
      </c>
      <c r="B269" s="291" t="s">
        <v>521</v>
      </c>
      <c r="C269" s="205"/>
      <c r="D269" s="205"/>
      <c r="E269" s="205"/>
      <c r="F269" s="205"/>
      <c r="G269" s="205"/>
      <c r="H269" s="212"/>
      <c r="I269" s="205"/>
      <c r="J269" s="205"/>
      <c r="K269" s="293"/>
      <c r="L269" s="293" t="s">
        <v>85</v>
      </c>
      <c r="M269" s="205"/>
      <c r="N269" s="205"/>
      <c r="O269" s="205"/>
      <c r="P269" s="205"/>
      <c r="Q269" s="206"/>
      <c r="R269" s="206"/>
      <c r="S269" s="205"/>
      <c r="T269" s="205"/>
      <c r="U269" s="205"/>
      <c r="V269" s="205"/>
      <c r="W269" s="205"/>
      <c r="X269" s="205"/>
      <c r="Y269" s="205"/>
      <c r="Z269" s="205"/>
      <c r="AA269" s="206"/>
      <c r="AB269" s="205"/>
      <c r="AC269" s="206"/>
      <c r="AD269" s="218"/>
      <c r="AE269" s="205"/>
      <c r="AF269" s="205"/>
      <c r="AG269" s="205"/>
      <c r="AH269" s="205"/>
      <c r="AI269" s="205"/>
      <c r="AJ269" s="205"/>
      <c r="AK269" s="205"/>
      <c r="AL269" s="205"/>
      <c r="AM269" s="205"/>
      <c r="AN269" s="205"/>
      <c r="AO269" s="205"/>
      <c r="AP269" s="205"/>
      <c r="AQ269" s="205"/>
      <c r="AR269" s="205"/>
      <c r="AS269" s="206"/>
      <c r="AT269" s="218"/>
      <c r="AU269" s="205"/>
      <c r="AV269" s="206"/>
      <c r="AW269" s="218"/>
      <c r="AX269" s="218"/>
      <c r="AY269" s="266"/>
      <c r="AZ269" s="266"/>
      <c r="BA269" s="266"/>
      <c r="BB269" s="266"/>
      <c r="BC269" s="266"/>
      <c r="BD269" s="266"/>
    </row>
    <row r="270" spans="1:56" ht="15.75" hidden="1" customHeight="1" outlineLevel="1" x14ac:dyDescent="0.3">
      <c r="A270" s="222">
        <f>COUNTIF(A116:A267,"2023")</f>
        <v>18</v>
      </c>
      <c r="B270" s="296" t="s">
        <v>84</v>
      </c>
      <c r="C270" s="205"/>
      <c r="D270" s="205"/>
      <c r="E270" s="205"/>
      <c r="F270" s="205"/>
      <c r="G270" s="205"/>
      <c r="H270" s="212"/>
      <c r="I270" s="205"/>
      <c r="J270" s="205"/>
      <c r="K270" s="293"/>
      <c r="L270" s="293"/>
      <c r="M270" s="205"/>
      <c r="N270" s="205"/>
      <c r="O270" s="205"/>
      <c r="P270" s="205"/>
      <c r="Q270" s="206"/>
      <c r="R270" s="206"/>
      <c r="S270" s="205"/>
      <c r="T270" s="205"/>
      <c r="U270" s="205"/>
      <c r="V270" s="205"/>
      <c r="W270" s="205"/>
      <c r="X270" s="205"/>
      <c r="Y270" s="205"/>
      <c r="Z270" s="205"/>
      <c r="AA270" s="206"/>
      <c r="AB270" s="205"/>
      <c r="AC270" s="206"/>
      <c r="AD270" s="218"/>
      <c r="AE270" s="205"/>
      <c r="AF270" s="205"/>
      <c r="AG270" s="205"/>
      <c r="AH270" s="205"/>
      <c r="AI270" s="205"/>
      <c r="AJ270" s="205"/>
      <c r="AK270" s="205"/>
      <c r="AL270" s="205"/>
      <c r="AM270" s="205"/>
      <c r="AN270" s="205"/>
      <c r="AO270" s="205"/>
      <c r="AP270" s="205"/>
      <c r="AQ270" s="205"/>
      <c r="AR270" s="205"/>
      <c r="AS270" s="206"/>
      <c r="AT270" s="218"/>
      <c r="AU270" s="205"/>
      <c r="AV270" s="206"/>
      <c r="AW270" s="218"/>
      <c r="AX270" s="218"/>
      <c r="AY270" s="266"/>
      <c r="AZ270" s="266"/>
      <c r="BA270" s="266"/>
      <c r="BB270" s="266"/>
      <c r="BC270" s="266"/>
      <c r="BD270" s="266"/>
    </row>
    <row r="271" spans="1:56" s="266" customFormat="1" ht="15.75" hidden="1" customHeight="1" outlineLevel="1" x14ac:dyDescent="0.3">
      <c r="A271" s="222">
        <f>COUNTIF(A116:A267,"2024")</f>
        <v>73</v>
      </c>
      <c r="B271" s="296" t="s">
        <v>86</v>
      </c>
      <c r="C271" s="205"/>
      <c r="D271" s="205"/>
      <c r="E271" s="205"/>
      <c r="F271" s="205"/>
      <c r="G271" s="205"/>
      <c r="H271" s="212"/>
      <c r="I271" s="205"/>
      <c r="J271" s="205"/>
      <c r="K271" s="293"/>
      <c r="L271" s="205"/>
      <c r="M271" s="205"/>
      <c r="N271" s="205"/>
      <c r="O271" s="205"/>
      <c r="P271" s="205"/>
      <c r="Q271" s="206"/>
      <c r="R271" s="206"/>
      <c r="S271" s="205"/>
      <c r="T271" s="205"/>
      <c r="U271" s="205"/>
      <c r="V271" s="205"/>
      <c r="W271" s="205"/>
      <c r="X271" s="205"/>
      <c r="Y271" s="205"/>
      <c r="Z271" s="205"/>
      <c r="AA271" s="206"/>
      <c r="AB271" s="205"/>
      <c r="AC271" s="206"/>
      <c r="AD271" s="218"/>
      <c r="AE271" s="205"/>
      <c r="AF271" s="205"/>
      <c r="AG271" s="205"/>
      <c r="AH271" s="205"/>
      <c r="AI271" s="205"/>
      <c r="AJ271" s="205"/>
      <c r="AK271" s="205"/>
      <c r="AL271" s="205"/>
      <c r="AM271" s="205"/>
      <c r="AN271" s="205"/>
      <c r="AO271" s="205"/>
      <c r="AP271" s="205"/>
      <c r="AQ271" s="205"/>
      <c r="AR271" s="205"/>
      <c r="AS271" s="206"/>
      <c r="AT271" s="218"/>
      <c r="AU271" s="205"/>
      <c r="AV271" s="206"/>
      <c r="AW271" s="218"/>
      <c r="AX271" s="218"/>
    </row>
    <row r="272" spans="1:56" ht="15.75" hidden="1" customHeight="1" outlineLevel="1" x14ac:dyDescent="0.3">
      <c r="A272" s="222">
        <f>COUNTIF(A116:A267,"2025")</f>
        <v>49</v>
      </c>
      <c r="B272" s="296" t="s">
        <v>87</v>
      </c>
      <c r="C272" s="205"/>
      <c r="D272" s="205"/>
      <c r="E272" s="205"/>
      <c r="F272" s="205"/>
      <c r="G272" s="205"/>
      <c r="H272" s="212"/>
      <c r="I272" s="205"/>
      <c r="J272" s="205"/>
      <c r="K272" s="297"/>
      <c r="L272" s="266"/>
      <c r="M272" s="205"/>
      <c r="N272" s="205"/>
      <c r="O272" s="205"/>
      <c r="P272" s="205"/>
      <c r="Q272" s="206"/>
      <c r="R272" s="206"/>
      <c r="S272" s="205"/>
      <c r="T272" s="205"/>
      <c r="U272" s="205"/>
      <c r="V272" s="205"/>
      <c r="W272" s="205"/>
      <c r="X272" s="205"/>
      <c r="Y272" s="205"/>
      <c r="Z272" s="205"/>
      <c r="AA272" s="206"/>
      <c r="AB272" s="205"/>
      <c r="AC272" s="206"/>
      <c r="AD272" s="218"/>
      <c r="AE272" s="205"/>
      <c r="AF272" s="205"/>
      <c r="AG272" s="205"/>
      <c r="AH272" s="205"/>
      <c r="AI272" s="205"/>
      <c r="AJ272" s="205"/>
      <c r="AK272" s="205"/>
      <c r="AL272" s="205"/>
      <c r="AM272" s="205"/>
      <c r="AN272" s="205"/>
      <c r="AO272" s="205"/>
      <c r="AP272" s="205"/>
      <c r="AQ272" s="205"/>
      <c r="AR272" s="205"/>
      <c r="AS272" s="206"/>
      <c r="AT272" s="218"/>
      <c r="AU272" s="205"/>
      <c r="AV272" s="206"/>
      <c r="AW272" s="218"/>
      <c r="AX272" s="218"/>
      <c r="AY272" s="266"/>
      <c r="AZ272" s="266"/>
      <c r="BA272" s="266"/>
      <c r="BB272" s="266"/>
      <c r="BC272" s="266"/>
      <c r="BD272" s="266"/>
    </row>
    <row r="273" spans="1:56" ht="15.75" hidden="1" customHeight="1" outlineLevel="1" x14ac:dyDescent="0.3">
      <c r="A273" s="222">
        <f>COUNTIF(A116:A267,"2026")</f>
        <v>10</v>
      </c>
      <c r="B273" s="296" t="s">
        <v>522</v>
      </c>
      <c r="C273" s="205"/>
      <c r="D273" s="205"/>
      <c r="E273" s="205"/>
      <c r="F273" s="205"/>
      <c r="G273" s="205"/>
      <c r="H273" s="212"/>
      <c r="I273" s="205"/>
      <c r="J273" s="205"/>
      <c r="K273" s="297"/>
      <c r="L273" s="266"/>
      <c r="M273" s="205"/>
      <c r="N273" s="205"/>
      <c r="O273" s="205"/>
      <c r="P273" s="205"/>
      <c r="Q273" s="206"/>
      <c r="R273" s="206"/>
      <c r="S273" s="205"/>
      <c r="T273" s="205"/>
      <c r="U273" s="205"/>
      <c r="V273" s="205"/>
      <c r="W273" s="205"/>
      <c r="X273" s="205"/>
      <c r="Y273" s="205"/>
      <c r="Z273" s="205"/>
      <c r="AA273" s="206"/>
      <c r="AB273" s="205"/>
      <c r="AC273" s="206"/>
      <c r="AD273" s="218"/>
      <c r="AE273" s="205"/>
      <c r="AF273" s="205"/>
      <c r="AG273" s="205"/>
      <c r="AH273" s="205"/>
      <c r="AI273" s="205"/>
      <c r="AJ273" s="205"/>
      <c r="AK273" s="205"/>
      <c r="AL273" s="205"/>
      <c r="AM273" s="205"/>
      <c r="AN273" s="205"/>
      <c r="AO273" s="205"/>
      <c r="AP273" s="205"/>
      <c r="AQ273" s="205"/>
      <c r="AR273" s="205"/>
      <c r="AS273" s="206"/>
      <c r="AT273" s="218"/>
      <c r="AU273" s="205"/>
      <c r="AV273" s="206"/>
      <c r="AW273" s="218"/>
      <c r="AX273" s="218"/>
      <c r="AY273" s="266"/>
      <c r="AZ273" s="266"/>
      <c r="BA273" s="266"/>
      <c r="BB273" s="266"/>
      <c r="BC273" s="266"/>
      <c r="BD273" s="266"/>
    </row>
    <row r="274" spans="1:56" collapsed="1" x14ac:dyDescent="0.3">
      <c r="C274" s="428"/>
      <c r="D274" s="429"/>
      <c r="E274" s="428"/>
      <c r="F274" s="429"/>
      <c r="G274" s="430"/>
      <c r="H274" s="431"/>
      <c r="I274" s="430"/>
      <c r="J274" s="430"/>
      <c r="K274" s="430"/>
      <c r="L274" s="429"/>
      <c r="M274" s="430"/>
      <c r="N274" s="430"/>
      <c r="O274" s="430"/>
      <c r="P274" s="430"/>
      <c r="Q274" s="432"/>
      <c r="R274" s="432"/>
      <c r="S274" s="428"/>
      <c r="T274" s="428"/>
      <c r="U274" s="430"/>
      <c r="V274" s="430"/>
      <c r="AD274" s="433"/>
      <c r="AS274" s="432"/>
      <c r="AT274" s="433"/>
      <c r="AV274" s="432"/>
      <c r="AW274" s="433"/>
      <c r="AX274" s="433"/>
    </row>
    <row r="275" spans="1:56" x14ac:dyDescent="0.3">
      <c r="C275" s="434"/>
      <c r="D275" s="435"/>
      <c r="E275" s="435"/>
      <c r="F275" s="435"/>
      <c r="G275" s="435"/>
      <c r="H275" s="436"/>
      <c r="I275" s="435"/>
      <c r="J275" s="435"/>
      <c r="K275" s="435"/>
      <c r="L275" s="435"/>
      <c r="M275" s="435"/>
      <c r="N275" s="435"/>
      <c r="O275" s="435"/>
      <c r="P275" s="435"/>
      <c r="Q275" s="437"/>
      <c r="R275" s="437"/>
      <c r="S275" s="435"/>
      <c r="T275" s="435"/>
      <c r="U275" s="435"/>
      <c r="V275" s="435"/>
      <c r="W275" s="435"/>
      <c r="X275" s="435"/>
      <c r="Y275" s="435"/>
      <c r="Z275" s="435"/>
      <c r="AA275" s="435"/>
      <c r="AB275" s="435"/>
      <c r="AC275" s="435"/>
      <c r="AD275" s="438"/>
      <c r="AE275" s="435"/>
      <c r="AF275" s="435"/>
      <c r="AG275" s="435"/>
      <c r="AH275" s="435"/>
      <c r="AI275" s="435"/>
      <c r="AJ275" s="435"/>
      <c r="AK275" s="435"/>
      <c r="AL275" s="435"/>
      <c r="AM275" s="435"/>
      <c r="AN275" s="435"/>
      <c r="AO275" s="435"/>
      <c r="AP275" s="435"/>
      <c r="AQ275" s="439"/>
      <c r="AR275" s="215"/>
      <c r="AS275" s="440"/>
      <c r="AT275" s="438"/>
      <c r="AU275" s="215"/>
      <c r="AV275" s="440"/>
      <c r="AW275" s="438"/>
      <c r="AX275" s="438"/>
    </row>
    <row r="276" spans="1:56" ht="6.75" customHeight="1" x14ac:dyDescent="0.3">
      <c r="C276" s="428"/>
      <c r="D276" s="428"/>
      <c r="E276" s="428"/>
      <c r="F276" s="428"/>
      <c r="G276" s="430"/>
      <c r="H276" s="431"/>
      <c r="I276" s="430"/>
      <c r="J276" s="430"/>
      <c r="K276" s="430"/>
      <c r="L276" s="430"/>
      <c r="M276" s="430"/>
      <c r="N276" s="430"/>
      <c r="O276" s="430"/>
      <c r="P276" s="430"/>
      <c r="Q276" s="432"/>
      <c r="R276" s="432"/>
      <c r="S276" s="428"/>
      <c r="T276" s="428"/>
      <c r="U276" s="430"/>
      <c r="V276" s="430"/>
      <c r="AD276" s="433"/>
      <c r="AS276" s="432"/>
      <c r="AT276" s="433"/>
      <c r="AV276" s="432"/>
      <c r="AW276" s="433"/>
      <c r="AX276" s="433"/>
    </row>
    <row r="277" spans="1:56" s="266" customFormat="1" x14ac:dyDescent="0.3">
      <c r="A277" s="193"/>
      <c r="B277" s="193"/>
      <c r="C277" s="441" t="s">
        <v>762</v>
      </c>
      <c r="D277" s="441"/>
      <c r="E277" s="441"/>
      <c r="F277" s="441"/>
      <c r="G277" s="200"/>
      <c r="H277" s="442"/>
      <c r="I277" s="200"/>
      <c r="J277" s="200"/>
      <c r="K277" s="200"/>
      <c r="L277" s="200"/>
      <c r="M277" s="200"/>
      <c r="N277" s="200"/>
      <c r="O277" s="200"/>
      <c r="P277" s="200"/>
      <c r="Q277" s="201"/>
      <c r="R277" s="201"/>
      <c r="S277" s="441"/>
      <c r="T277" s="441"/>
      <c r="U277" s="200"/>
      <c r="V277" s="200"/>
      <c r="W277" s="205"/>
      <c r="X277" s="205"/>
      <c r="Y277" s="205"/>
      <c r="Z277" s="205"/>
      <c r="AA277" s="206"/>
      <c r="AB277" s="205"/>
      <c r="AC277" s="206"/>
      <c r="AD277" s="443"/>
      <c r="AE277" s="205"/>
      <c r="AF277" s="205"/>
      <c r="AG277" s="205"/>
      <c r="AH277" s="205"/>
      <c r="AI277" s="205"/>
      <c r="AJ277" s="205"/>
      <c r="AK277" s="205"/>
      <c r="AL277" s="205"/>
      <c r="AM277" s="205"/>
      <c r="AN277" s="205"/>
      <c r="AO277" s="205"/>
      <c r="AP277" s="205"/>
      <c r="AQ277" s="205"/>
      <c r="AR277" s="205"/>
      <c r="AS277" s="201"/>
      <c r="AT277" s="443"/>
      <c r="AU277" s="205"/>
      <c r="AV277" s="201"/>
      <c r="AW277" s="443"/>
      <c r="AX277" s="443"/>
    </row>
    <row r="278" spans="1:56" s="266" customFormat="1" x14ac:dyDescent="0.3">
      <c r="A278" s="222"/>
      <c r="B278" s="222"/>
      <c r="C278" s="205"/>
      <c r="E278" s="205"/>
      <c r="F278" s="205"/>
      <c r="G278" s="205"/>
      <c r="H278" s="212"/>
      <c r="I278" s="205"/>
      <c r="J278" s="205"/>
      <c r="K278" s="205"/>
      <c r="L278" s="293"/>
      <c r="M278" s="205"/>
      <c r="N278" s="205"/>
      <c r="O278" s="205"/>
      <c r="P278" s="205"/>
      <c r="Q278" s="206"/>
      <c r="R278" s="206"/>
      <c r="S278" s="205"/>
      <c r="T278" s="205"/>
      <c r="U278" s="205"/>
      <c r="V278" s="205"/>
      <c r="W278" s="205"/>
      <c r="X278" s="205"/>
      <c r="Y278" s="205"/>
      <c r="Z278" s="205"/>
      <c r="AA278" s="206"/>
      <c r="AB278" s="205"/>
      <c r="AC278" s="206"/>
      <c r="AD278" s="218"/>
      <c r="AE278" s="205"/>
      <c r="AF278" s="205"/>
      <c r="AG278" s="205"/>
      <c r="AH278" s="205"/>
      <c r="AI278" s="205"/>
      <c r="AJ278" s="205"/>
      <c r="AK278" s="205"/>
      <c r="AL278" s="205"/>
      <c r="AM278" s="205"/>
      <c r="AN278" s="205"/>
      <c r="AO278" s="205"/>
      <c r="AP278" s="205"/>
      <c r="AQ278" s="205"/>
      <c r="AR278" s="205"/>
      <c r="AS278" s="206"/>
      <c r="AT278" s="218"/>
      <c r="AU278" s="205"/>
      <c r="AV278" s="206"/>
      <c r="AW278" s="218"/>
      <c r="AX278" s="218"/>
    </row>
    <row r="279" spans="1:56" s="266" customFormat="1" x14ac:dyDescent="0.3">
      <c r="A279" s="222"/>
      <c r="B279" s="222"/>
      <c r="C279" s="205"/>
      <c r="E279" s="205"/>
      <c r="F279" s="205"/>
      <c r="G279" s="205"/>
      <c r="H279" s="212"/>
      <c r="I279" s="205"/>
      <c r="J279" s="205"/>
      <c r="K279" s="205"/>
      <c r="L279" s="293"/>
      <c r="M279" s="205"/>
      <c r="N279" s="205"/>
      <c r="O279" s="205"/>
      <c r="P279" s="205"/>
      <c r="Q279" s="206"/>
      <c r="R279" s="206"/>
      <c r="S279" s="205"/>
      <c r="T279" s="205"/>
      <c r="U279" s="205"/>
      <c r="V279" s="205"/>
      <c r="W279" s="205"/>
      <c r="X279" s="205"/>
      <c r="Y279" s="205"/>
      <c r="Z279" s="205"/>
      <c r="AA279" s="206"/>
      <c r="AB279" s="205"/>
      <c r="AC279" s="206"/>
      <c r="AD279" s="218"/>
      <c r="AE279" s="205"/>
      <c r="AF279" s="205"/>
      <c r="AG279" s="205"/>
      <c r="AH279" s="205"/>
      <c r="AI279" s="205"/>
      <c r="AJ279" s="205"/>
      <c r="AK279" s="205"/>
      <c r="AL279" s="205"/>
      <c r="AM279" s="205"/>
      <c r="AN279" s="205"/>
      <c r="AO279" s="205"/>
      <c r="AP279" s="205"/>
      <c r="AQ279" s="205"/>
      <c r="AR279" s="205"/>
      <c r="AS279" s="206"/>
      <c r="AT279" s="218"/>
      <c r="AU279" s="205"/>
      <c r="AV279" s="206"/>
      <c r="AW279" s="218"/>
      <c r="AX279" s="218"/>
    </row>
    <row r="280" spans="1:56" s="266" customFormat="1" x14ac:dyDescent="0.3">
      <c r="A280" s="222"/>
      <c r="B280" s="222"/>
      <c r="C280" s="444" t="s">
        <v>443</v>
      </c>
      <c r="D280" s="444" t="s">
        <v>444</v>
      </c>
      <c r="E280" s="445"/>
      <c r="F280" s="445"/>
      <c r="G280" s="445"/>
      <c r="H280" s="446"/>
      <c r="I280" s="445"/>
      <c r="J280" s="445"/>
      <c r="K280" s="445"/>
      <c r="L280" s="444" t="s">
        <v>445</v>
      </c>
      <c r="M280" s="445"/>
      <c r="N280" s="444" t="s">
        <v>446</v>
      </c>
      <c r="O280" s="445"/>
      <c r="P280" s="447"/>
      <c r="Q280" s="448"/>
      <c r="R280" s="448"/>
      <c r="S280" s="205"/>
      <c r="T280" s="205"/>
      <c r="U280" s="205"/>
      <c r="V280" s="205"/>
      <c r="W280" s="205"/>
      <c r="X280" s="205"/>
      <c r="Y280" s="205"/>
      <c r="Z280" s="205"/>
      <c r="AA280" s="206"/>
      <c r="AB280" s="205"/>
      <c r="AC280" s="206"/>
      <c r="AD280" s="218"/>
      <c r="AE280" s="205"/>
      <c r="AF280" s="205"/>
      <c r="AG280" s="205"/>
      <c r="AH280" s="205"/>
      <c r="AI280" s="205"/>
      <c r="AJ280" s="205"/>
      <c r="AK280" s="205"/>
      <c r="AL280" s="205"/>
      <c r="AM280" s="205"/>
      <c r="AN280" s="205"/>
      <c r="AO280" s="205"/>
      <c r="AP280" s="205"/>
      <c r="AQ280" s="205"/>
      <c r="AR280" s="205"/>
      <c r="AS280" s="206"/>
      <c r="AT280" s="218"/>
      <c r="AU280" s="205"/>
      <c r="AV280" s="206"/>
      <c r="AW280" s="218"/>
      <c r="AX280" s="218"/>
    </row>
    <row r="281" spans="1:56" s="266" customFormat="1" x14ac:dyDescent="0.3">
      <c r="A281" s="193"/>
      <c r="B281" s="449" t="s">
        <v>447</v>
      </c>
      <c r="C281" s="205">
        <f>COUNTIFS($A$15:$A$277,"2023",$B$15:$B$277,"Yes")</f>
        <v>20</v>
      </c>
      <c r="D281" s="447">
        <f>SUM(A270,A110,A62,A47,A33,A22)</f>
        <v>25</v>
      </c>
      <c r="E281" s="205"/>
      <c r="F281" s="205"/>
      <c r="G281" s="205"/>
      <c r="H281" s="212"/>
      <c r="I281" s="205"/>
      <c r="J281" s="205"/>
      <c r="K281" s="205"/>
      <c r="L281" s="447">
        <f>COUNTIFS($A$19:$A$268,"2023",$L$19:$L$268,"Off-Market")</f>
        <v>15</v>
      </c>
      <c r="M281" s="450">
        <f>L281/D281</f>
        <v>0.6</v>
      </c>
      <c r="N281" s="205">
        <f>COUNTIFS($A$19:$A$268,"2023",$N$19:$N$268,"Yes")</f>
        <v>16</v>
      </c>
      <c r="O281" s="450">
        <f>N281/D281</f>
        <v>0.64</v>
      </c>
      <c r="P281" s="451"/>
      <c r="Q281" s="452"/>
      <c r="R281" s="452"/>
      <c r="S281" s="205"/>
      <c r="T281" s="205"/>
      <c r="U281" s="205"/>
      <c r="V281" s="205"/>
      <c r="W281" s="205"/>
      <c r="X281" s="205"/>
      <c r="Y281" s="205"/>
      <c r="Z281" s="205"/>
      <c r="AA281" s="206"/>
      <c r="AB281" s="205"/>
      <c r="AC281" s="206"/>
      <c r="AD281" s="218"/>
      <c r="AE281" s="205"/>
      <c r="AF281" s="205"/>
      <c r="AG281" s="205"/>
      <c r="AH281" s="205"/>
      <c r="AI281" s="205"/>
      <c r="AJ281" s="205"/>
      <c r="AK281" s="205"/>
      <c r="AL281" s="205"/>
      <c r="AM281" s="205"/>
      <c r="AN281" s="205"/>
      <c r="AO281" s="205"/>
      <c r="AP281" s="205"/>
      <c r="AQ281" s="205"/>
      <c r="AR281" s="205"/>
      <c r="AS281" s="206"/>
      <c r="AT281" s="218"/>
      <c r="AU281" s="205"/>
      <c r="AV281" s="206"/>
      <c r="AW281" s="218"/>
      <c r="AX281" s="218"/>
    </row>
    <row r="282" spans="1:56" s="266" customFormat="1" x14ac:dyDescent="0.3">
      <c r="A282" s="193"/>
      <c r="B282" s="449" t="s">
        <v>448</v>
      </c>
      <c r="C282" s="205">
        <f>COUNTIFS($A$15:$A$277,"2024",$B$15:$B$277,"Yes")</f>
        <v>58</v>
      </c>
      <c r="D282" s="447">
        <f>SUM(A271,A111,A63,A48,A34,A23)</f>
        <v>92</v>
      </c>
      <c r="E282" s="205"/>
      <c r="F282" s="205"/>
      <c r="G282" s="205"/>
      <c r="H282" s="212"/>
      <c r="I282" s="205"/>
      <c r="J282" s="205"/>
      <c r="K282" s="205"/>
      <c r="L282" s="447">
        <f>COUNTIFS($A$19:$A$268,"2024",$L$19:$L$268,"Off-Market")</f>
        <v>45</v>
      </c>
      <c r="M282" s="450">
        <f>L282/D282</f>
        <v>0.4891304347826087</v>
      </c>
      <c r="N282" s="205">
        <f>COUNTIFS($A$19:$A$268,"2024",$N$19:$N$268,"Yes")</f>
        <v>33</v>
      </c>
      <c r="O282" s="450">
        <f>N282/D282</f>
        <v>0.35869565217391303</v>
      </c>
      <c r="P282" s="451"/>
      <c r="Q282" s="452"/>
      <c r="R282" s="452"/>
      <c r="S282" s="205"/>
      <c r="T282" s="205"/>
      <c r="U282" s="205"/>
      <c r="V282" s="205"/>
      <c r="W282" s="205"/>
      <c r="X282" s="205"/>
      <c r="Y282" s="205"/>
      <c r="Z282" s="205"/>
      <c r="AA282" s="206"/>
      <c r="AB282" s="205"/>
      <c r="AC282" s="206"/>
      <c r="AD282" s="218"/>
      <c r="AE282" s="205"/>
      <c r="AF282" s="205"/>
      <c r="AG282" s="205"/>
      <c r="AH282" s="205"/>
      <c r="AI282" s="205"/>
      <c r="AJ282" s="205"/>
      <c r="AK282" s="205"/>
      <c r="AL282" s="205"/>
      <c r="AM282" s="205"/>
      <c r="AN282" s="205"/>
      <c r="AO282" s="205"/>
      <c r="AP282" s="205"/>
      <c r="AQ282" s="205"/>
      <c r="AR282" s="205"/>
      <c r="AS282" s="206"/>
      <c r="AT282" s="218"/>
      <c r="AU282" s="205"/>
      <c r="AV282" s="206"/>
      <c r="AW282" s="218"/>
      <c r="AX282" s="218"/>
    </row>
    <row r="283" spans="1:56" s="266" customFormat="1" x14ac:dyDescent="0.3">
      <c r="A283" s="193"/>
      <c r="B283" s="453" t="s">
        <v>449</v>
      </c>
      <c r="C283" s="454">
        <f>COUNTIFS($A$15:$A$277,"2025",$B$15:$B$277,"Yes")</f>
        <v>45</v>
      </c>
      <c r="D283" s="447">
        <f>SUM(A272,A112,A64,A49,A35,A24)</f>
        <v>73</v>
      </c>
      <c r="E283" s="205"/>
      <c r="F283" s="205"/>
      <c r="G283" s="205"/>
      <c r="H283" s="455"/>
      <c r="I283" s="205"/>
      <c r="J283" s="205"/>
      <c r="K283" s="205"/>
      <c r="L283" s="447">
        <f>COUNTIFS($A$19:$A$268,"2025",$L$19:$L$268,"Off-Market")</f>
        <v>25</v>
      </c>
      <c r="M283" s="450">
        <f>L283/D283</f>
        <v>0.34246575342465752</v>
      </c>
      <c r="N283" s="205">
        <f>COUNTIFS($A$19:$A$268,"2025",$N$19:$N$268,"Yes")</f>
        <v>22</v>
      </c>
      <c r="O283" s="450">
        <f>N283/D283</f>
        <v>0.30136986301369861</v>
      </c>
      <c r="P283" s="451"/>
      <c r="Q283" s="452"/>
      <c r="R283" s="452"/>
      <c r="S283" s="205"/>
      <c r="T283" s="205"/>
      <c r="U283" s="205"/>
      <c r="V283" s="205"/>
      <c r="W283" s="205"/>
      <c r="X283" s="205"/>
      <c r="Y283" s="205"/>
      <c r="Z283" s="205"/>
      <c r="AA283" s="206"/>
      <c r="AB283" s="205"/>
      <c r="AC283" s="206"/>
      <c r="AD283" s="218"/>
      <c r="AE283" s="205"/>
      <c r="AF283" s="205"/>
      <c r="AG283" s="205"/>
      <c r="AH283" s="205"/>
      <c r="AI283" s="205"/>
      <c r="AJ283" s="205"/>
      <c r="AK283" s="205"/>
      <c r="AL283" s="205"/>
      <c r="AM283" s="205"/>
      <c r="AN283" s="205"/>
      <c r="AO283" s="205"/>
      <c r="AP283" s="205"/>
      <c r="AQ283" s="205"/>
      <c r="AR283" s="205"/>
      <c r="AS283" s="206"/>
      <c r="AT283" s="218"/>
      <c r="AU283" s="205"/>
      <c r="AV283" s="206"/>
      <c r="AW283" s="218"/>
      <c r="AX283" s="218"/>
    </row>
    <row r="284" spans="1:56" s="266" customFormat="1" x14ac:dyDescent="0.3">
      <c r="A284" s="193"/>
      <c r="B284" s="456" t="s">
        <v>763</v>
      </c>
      <c r="C284" s="457">
        <f>COUNTIFS($A$15:$A$277,"2026",$B$15:$B$277,"Yes")</f>
        <v>12</v>
      </c>
      <c r="D284" s="458">
        <f>SUM(A273,A113,A65,A50,A36,A25)</f>
        <v>16</v>
      </c>
      <c r="L284" s="447">
        <f>COUNTIFS($A$19:$A$268,"2026",$L$19:$L$268,"Off-Market")</f>
        <v>4</v>
      </c>
      <c r="M284" s="450">
        <f>L284/D284</f>
        <v>0.25</v>
      </c>
      <c r="N284" s="205">
        <f>COUNTIFS($A$19:$A$268,"2026",$N$19:$N$268,"Yes")</f>
        <v>2</v>
      </c>
      <c r="O284" s="450">
        <f>N284/D284</f>
        <v>0.125</v>
      </c>
      <c r="P284" s="451"/>
      <c r="Q284" s="452"/>
      <c r="R284" s="452"/>
      <c r="S284" s="205"/>
      <c r="T284" s="205"/>
      <c r="U284" s="205"/>
      <c r="V284" s="205"/>
      <c r="W284" s="205"/>
      <c r="X284" s="205"/>
      <c r="Y284" s="205"/>
      <c r="Z284" s="205"/>
      <c r="AA284" s="206"/>
      <c r="AB284" s="205"/>
      <c r="AC284" s="206"/>
      <c r="AD284" s="218"/>
      <c r="AE284" s="205"/>
      <c r="AF284" s="205"/>
      <c r="AG284" s="205"/>
      <c r="AH284" s="205"/>
      <c r="AI284" s="205"/>
      <c r="AJ284" s="205"/>
      <c r="AK284" s="205"/>
      <c r="AL284" s="205"/>
      <c r="AM284" s="205"/>
      <c r="AN284" s="205"/>
      <c r="AO284" s="205"/>
      <c r="AP284" s="205"/>
      <c r="AQ284" s="205"/>
      <c r="AR284" s="205"/>
      <c r="AS284" s="206"/>
      <c r="AT284" s="218"/>
      <c r="AU284" s="205"/>
      <c r="AV284" s="206"/>
      <c r="AW284" s="218"/>
      <c r="AX284" s="218"/>
    </row>
    <row r="285" spans="1:56" s="266" customFormat="1" ht="16.2" thickBot="1" x14ac:dyDescent="0.35">
      <c r="A285" s="193"/>
      <c r="B285" s="222"/>
      <c r="C285" s="459">
        <f>SUM(C281:C284)</f>
        <v>135</v>
      </c>
      <c r="D285" s="459">
        <f>SUM(D281:D284)</f>
        <v>206</v>
      </c>
      <c r="E285" s="459"/>
      <c r="F285" s="459"/>
      <c r="G285" s="459"/>
      <c r="H285" s="460"/>
      <c r="I285" s="459"/>
      <c r="J285" s="459"/>
      <c r="K285" s="459"/>
      <c r="L285" s="459">
        <f>SUM(L281:L283)</f>
        <v>85</v>
      </c>
      <c r="M285" s="461">
        <f>L285/D285</f>
        <v>0.41262135922330095</v>
      </c>
      <c r="N285" s="459">
        <f>SUM(N281:N283)</f>
        <v>71</v>
      </c>
      <c r="O285" s="461">
        <f>N285/D285</f>
        <v>0.3446601941747573</v>
      </c>
      <c r="P285" s="293"/>
      <c r="Q285" s="462"/>
      <c r="R285" s="462"/>
      <c r="S285" s="205"/>
      <c r="T285" s="205"/>
      <c r="U285" s="205"/>
      <c r="V285" s="205"/>
      <c r="W285" s="205"/>
      <c r="X285" s="205"/>
      <c r="Y285" s="205"/>
      <c r="Z285" s="205"/>
      <c r="AA285" s="206"/>
      <c r="AB285" s="205"/>
      <c r="AC285" s="206"/>
      <c r="AD285" s="218"/>
      <c r="AE285" s="205"/>
      <c r="AF285" s="205"/>
      <c r="AG285" s="205"/>
      <c r="AH285" s="205"/>
      <c r="AI285" s="205"/>
      <c r="AJ285" s="205"/>
      <c r="AK285" s="205"/>
      <c r="AL285" s="205"/>
      <c r="AM285" s="205"/>
      <c r="AN285" s="205"/>
      <c r="AO285" s="205"/>
      <c r="AP285" s="205"/>
      <c r="AQ285" s="205"/>
      <c r="AR285" s="205"/>
      <c r="AS285" s="206"/>
      <c r="AT285" s="218"/>
      <c r="AU285" s="205"/>
      <c r="AV285" s="206"/>
      <c r="AW285" s="218"/>
      <c r="AX285" s="218"/>
    </row>
    <row r="286" spans="1:56" s="266" customFormat="1" ht="16.2" thickTop="1" x14ac:dyDescent="0.3">
      <c r="A286" s="193"/>
      <c r="B286" s="222"/>
      <c r="C286" s="205"/>
      <c r="E286" s="205"/>
      <c r="F286" s="205"/>
      <c r="G286" s="205"/>
      <c r="H286" s="212"/>
      <c r="I286" s="205"/>
      <c r="J286" s="205"/>
      <c r="K286" s="205"/>
      <c r="L286" s="205"/>
      <c r="M286" s="205"/>
      <c r="N286" s="205"/>
      <c r="O286" s="205"/>
      <c r="P286" s="205"/>
      <c r="Q286" s="206"/>
      <c r="R286" s="206"/>
      <c r="S286" s="205"/>
      <c r="T286" s="205"/>
      <c r="U286" s="205"/>
      <c r="V286" s="205"/>
      <c r="W286" s="205"/>
      <c r="X286" s="205"/>
      <c r="Y286" s="205"/>
      <c r="Z286" s="205"/>
      <c r="AA286" s="206"/>
      <c r="AB286" s="205"/>
      <c r="AC286" s="206"/>
      <c r="AD286" s="218"/>
      <c r="AE286" s="205"/>
      <c r="AF286" s="205"/>
      <c r="AG286" s="205"/>
      <c r="AH286" s="205"/>
      <c r="AI286" s="205"/>
      <c r="AJ286" s="205"/>
      <c r="AK286" s="205"/>
      <c r="AL286" s="205"/>
      <c r="AM286" s="205"/>
      <c r="AN286" s="205"/>
      <c r="AO286" s="205"/>
      <c r="AP286" s="205"/>
      <c r="AQ286" s="205"/>
      <c r="AR286" s="205"/>
      <c r="AS286" s="206"/>
      <c r="AT286" s="218"/>
      <c r="AU286" s="205"/>
      <c r="AV286" s="206"/>
      <c r="AW286" s="218"/>
      <c r="AX286" s="218"/>
    </row>
    <row r="287" spans="1:56" s="266" customFormat="1" x14ac:dyDescent="0.3">
      <c r="A287" s="193"/>
      <c r="B287" s="222"/>
      <c r="C287" s="444" t="s">
        <v>764</v>
      </c>
      <c r="E287" s="205"/>
      <c r="F287" s="205"/>
      <c r="G287" s="205"/>
      <c r="H287" s="212"/>
      <c r="J287" s="205"/>
      <c r="K287" s="205"/>
      <c r="L287" s="205"/>
      <c r="M287" s="205"/>
      <c r="N287" s="205"/>
      <c r="O287" s="205"/>
      <c r="P287" s="205"/>
      <c r="Q287" s="206"/>
      <c r="R287" s="206"/>
      <c r="S287" s="205"/>
      <c r="T287" s="205"/>
      <c r="U287" s="205"/>
      <c r="V287" s="205"/>
      <c r="W287" s="205"/>
      <c r="X287" s="205"/>
      <c r="Y287" s="205"/>
      <c r="Z287" s="205"/>
      <c r="AA287" s="206"/>
      <c r="AB287" s="205"/>
      <c r="AC287" s="206"/>
      <c r="AD287" s="218"/>
      <c r="AE287" s="205"/>
      <c r="AF287" s="205"/>
      <c r="AG287" s="205"/>
      <c r="AH287" s="205"/>
      <c r="AI287" s="205"/>
      <c r="AJ287" s="205"/>
      <c r="AK287" s="205"/>
      <c r="AL287" s="205"/>
      <c r="AM287" s="205"/>
      <c r="AN287" s="205"/>
      <c r="AO287" s="205"/>
      <c r="AP287" s="205"/>
      <c r="AQ287" s="205"/>
      <c r="AR287" s="205"/>
      <c r="AS287" s="206"/>
      <c r="AT287" s="218"/>
      <c r="AU287" s="205"/>
      <c r="AV287" s="206"/>
      <c r="AW287" s="218"/>
      <c r="AX287" s="218"/>
    </row>
    <row r="288" spans="1:56" s="266" customFormat="1" x14ac:dyDescent="0.3">
      <c r="A288" s="193"/>
      <c r="B288" s="463" t="s">
        <v>458</v>
      </c>
      <c r="C288" s="205">
        <f>D20</f>
        <v>3</v>
      </c>
      <c r="E288" s="205"/>
      <c r="F288" s="464" t="s">
        <v>765</v>
      </c>
      <c r="G288" s="205">
        <f>COUNTIF($G$116:$G$265,"&lt;=10000000")</f>
        <v>64</v>
      </c>
      <c r="H288" s="212"/>
      <c r="J288" s="205"/>
      <c r="K288" s="205"/>
      <c r="L288" s="205"/>
      <c r="M288" s="205"/>
      <c r="N288" s="205"/>
      <c r="O288" s="205"/>
      <c r="P288" s="205"/>
      <c r="Q288" s="206"/>
      <c r="R288" s="206"/>
      <c r="S288" s="205"/>
      <c r="T288" s="205"/>
      <c r="U288" s="205"/>
      <c r="V288" s="205"/>
      <c r="W288" s="205"/>
      <c r="X288" s="205"/>
      <c r="Y288" s="205"/>
      <c r="Z288" s="205"/>
      <c r="AA288" s="206"/>
      <c r="AB288" s="205"/>
      <c r="AC288" s="206"/>
      <c r="AD288" s="218"/>
      <c r="AE288" s="205"/>
      <c r="AF288" s="205"/>
      <c r="AG288" s="205"/>
      <c r="AH288" s="205"/>
      <c r="AI288" s="205"/>
      <c r="AJ288" s="205"/>
      <c r="AK288" s="205"/>
      <c r="AL288" s="205"/>
      <c r="AM288" s="205"/>
      <c r="AN288" s="205"/>
      <c r="AO288" s="205"/>
      <c r="AP288" s="205"/>
      <c r="AQ288" s="205"/>
      <c r="AR288" s="205"/>
      <c r="AS288" s="206"/>
      <c r="AT288" s="218"/>
      <c r="AU288" s="205"/>
      <c r="AV288" s="206"/>
      <c r="AW288" s="218"/>
      <c r="AX288" s="218"/>
    </row>
    <row r="289" spans="1:50" s="266" customFormat="1" x14ac:dyDescent="0.3">
      <c r="A289" s="193"/>
      <c r="B289" s="463" t="s">
        <v>766</v>
      </c>
      <c r="C289" s="205">
        <f>D45</f>
        <v>13</v>
      </c>
      <c r="E289" s="205"/>
      <c r="F289" s="464" t="s">
        <v>767</v>
      </c>
      <c r="G289" s="205">
        <f>COUNTIF($G$116:$G$265,"&lt;=15000000")</f>
        <v>83</v>
      </c>
      <c r="H289" s="212"/>
      <c r="J289" s="205"/>
      <c r="K289" s="205"/>
      <c r="L289" s="205"/>
      <c r="M289" s="205"/>
      <c r="N289" s="205"/>
      <c r="O289" s="205"/>
      <c r="P289" s="205"/>
      <c r="Q289" s="206"/>
      <c r="R289" s="206"/>
      <c r="S289" s="205"/>
      <c r="T289" s="205"/>
      <c r="U289" s="205"/>
      <c r="V289" s="205"/>
      <c r="W289" s="205"/>
      <c r="X289" s="205"/>
      <c r="Y289" s="205"/>
      <c r="Z289" s="205"/>
      <c r="AA289" s="206"/>
      <c r="AB289" s="205"/>
      <c r="AC289" s="206"/>
      <c r="AD289" s="218"/>
      <c r="AE289" s="205"/>
      <c r="AF289" s="205"/>
      <c r="AG289" s="205"/>
      <c r="AH289" s="205"/>
      <c r="AI289" s="205"/>
      <c r="AJ289" s="205"/>
      <c r="AK289" s="205"/>
      <c r="AL289" s="205"/>
      <c r="AM289" s="205"/>
      <c r="AN289" s="205"/>
      <c r="AO289" s="205"/>
      <c r="AP289" s="205"/>
      <c r="AQ289" s="205"/>
      <c r="AR289" s="205"/>
      <c r="AS289" s="206"/>
      <c r="AT289" s="218"/>
      <c r="AU289" s="205"/>
      <c r="AV289" s="206"/>
      <c r="AW289" s="218"/>
      <c r="AX289" s="218"/>
    </row>
    <row r="290" spans="1:50" s="266" customFormat="1" x14ac:dyDescent="0.3">
      <c r="A290" s="193"/>
      <c r="B290" s="463" t="s">
        <v>463</v>
      </c>
      <c r="C290" s="205">
        <f>D60</f>
        <v>6</v>
      </c>
      <c r="E290" s="205"/>
      <c r="F290" s="465" t="s">
        <v>768</v>
      </c>
      <c r="G290" s="466">
        <f>COUNTIF($G$116:$G$265,"&lt;=20000000")</f>
        <v>97</v>
      </c>
      <c r="H290" s="212"/>
      <c r="J290" s="205"/>
      <c r="K290" s="205"/>
      <c r="L290" s="205"/>
      <c r="M290" s="205"/>
      <c r="N290" s="205"/>
      <c r="O290" s="205"/>
      <c r="P290" s="205"/>
      <c r="Q290" s="206"/>
      <c r="R290" s="206"/>
      <c r="S290" s="205"/>
      <c r="T290" s="205"/>
      <c r="U290" s="205"/>
      <c r="V290" s="205"/>
      <c r="W290" s="205"/>
      <c r="X290" s="205"/>
      <c r="Y290" s="205"/>
      <c r="Z290" s="205"/>
      <c r="AA290" s="206"/>
      <c r="AB290" s="205"/>
      <c r="AC290" s="206"/>
      <c r="AD290" s="218"/>
      <c r="AE290" s="205"/>
      <c r="AF290" s="205"/>
      <c r="AG290" s="205"/>
      <c r="AH290" s="205"/>
      <c r="AI290" s="205"/>
      <c r="AJ290" s="205"/>
      <c r="AK290" s="205"/>
      <c r="AL290" s="205"/>
      <c r="AM290" s="205"/>
      <c r="AN290" s="205"/>
      <c r="AO290" s="205"/>
      <c r="AP290" s="205"/>
      <c r="AQ290" s="205"/>
      <c r="AR290" s="205"/>
      <c r="AS290" s="206"/>
      <c r="AT290" s="218"/>
      <c r="AU290" s="205"/>
      <c r="AV290" s="206"/>
      <c r="AW290" s="218"/>
      <c r="AX290" s="218"/>
    </row>
    <row r="291" spans="1:50" s="266" customFormat="1" x14ac:dyDescent="0.3">
      <c r="A291" s="193"/>
      <c r="B291" s="463" t="s">
        <v>148</v>
      </c>
      <c r="C291" s="205">
        <f>D108</f>
        <v>39</v>
      </c>
      <c r="E291" s="205"/>
      <c r="F291" s="464" t="s">
        <v>769</v>
      </c>
      <c r="G291" s="205">
        <f>COUNTIF($G$116:$G$265,"&lt;=20000001")</f>
        <v>97</v>
      </c>
      <c r="H291" s="212"/>
      <c r="J291" s="205"/>
      <c r="K291" s="205"/>
      <c r="L291" s="205"/>
      <c r="M291" s="205"/>
      <c r="N291" s="205"/>
      <c r="O291" s="205"/>
      <c r="P291" s="205"/>
      <c r="Q291" s="206"/>
      <c r="R291" s="206"/>
      <c r="S291" s="205"/>
      <c r="T291" s="205"/>
      <c r="U291" s="205"/>
      <c r="V291" s="205"/>
      <c r="W291" s="205"/>
      <c r="X291" s="205"/>
      <c r="Y291" s="205"/>
      <c r="Z291" s="205"/>
      <c r="AA291" s="206"/>
      <c r="AB291" s="205"/>
      <c r="AC291" s="206"/>
      <c r="AD291" s="218"/>
      <c r="AE291" s="205"/>
      <c r="AF291" s="205"/>
      <c r="AG291" s="205"/>
      <c r="AH291" s="205"/>
      <c r="AI291" s="205"/>
      <c r="AJ291" s="205"/>
      <c r="AK291" s="205"/>
      <c r="AL291" s="205"/>
      <c r="AM291" s="205"/>
      <c r="AN291" s="205"/>
      <c r="AO291" s="205"/>
      <c r="AP291" s="205"/>
      <c r="AQ291" s="205"/>
      <c r="AR291" s="205"/>
      <c r="AS291" s="206"/>
      <c r="AT291" s="218"/>
      <c r="AU291" s="205"/>
      <c r="AV291" s="206"/>
      <c r="AW291" s="218"/>
      <c r="AX291" s="218"/>
    </row>
    <row r="292" spans="1:50" s="266" customFormat="1" x14ac:dyDescent="0.3">
      <c r="A292" s="193"/>
      <c r="B292" s="463" t="s">
        <v>770</v>
      </c>
      <c r="C292" s="467">
        <f>D268</f>
        <v>151</v>
      </c>
      <c r="E292" s="205"/>
      <c r="F292" s="205"/>
      <c r="G292" s="205"/>
      <c r="H292" s="212"/>
      <c r="J292" s="205"/>
      <c r="K292" s="205"/>
      <c r="L292" s="205"/>
      <c r="M292" s="205"/>
      <c r="N292" s="205"/>
      <c r="O292" s="205"/>
      <c r="P292" s="205"/>
      <c r="Q292" s="206"/>
      <c r="R292" s="206"/>
      <c r="S292" s="205"/>
      <c r="T292" s="205"/>
      <c r="U292" s="205"/>
      <c r="V292" s="205"/>
      <c r="W292" s="205"/>
      <c r="X292" s="205"/>
      <c r="Y292" s="205"/>
      <c r="Z292" s="205"/>
      <c r="AA292" s="206"/>
      <c r="AB292" s="205"/>
      <c r="AC292" s="206"/>
      <c r="AD292" s="218"/>
      <c r="AE292" s="205"/>
      <c r="AF292" s="205"/>
      <c r="AG292" s="205"/>
      <c r="AH292" s="205"/>
      <c r="AI292" s="205"/>
      <c r="AJ292" s="205"/>
      <c r="AK292" s="205"/>
      <c r="AL292" s="205"/>
      <c r="AM292" s="205"/>
      <c r="AN292" s="205"/>
      <c r="AO292" s="205"/>
      <c r="AP292" s="205"/>
      <c r="AQ292" s="205"/>
      <c r="AR292" s="205"/>
      <c r="AS292" s="206"/>
      <c r="AT292" s="218"/>
      <c r="AU292" s="205"/>
      <c r="AV292" s="206"/>
      <c r="AW292" s="218"/>
      <c r="AX292" s="218"/>
    </row>
    <row r="293" spans="1:50" s="266" customFormat="1" x14ac:dyDescent="0.3">
      <c r="A293" s="468"/>
      <c r="B293" s="468"/>
      <c r="C293" s="205">
        <f>SUM(C288:C292)</f>
        <v>212</v>
      </c>
      <c r="E293" s="205"/>
      <c r="F293" s="205"/>
      <c r="G293" s="205"/>
      <c r="H293" s="212"/>
      <c r="J293" s="205"/>
      <c r="K293" s="205"/>
      <c r="L293" s="205"/>
      <c r="M293" s="205"/>
      <c r="N293" s="205"/>
      <c r="O293" s="205"/>
      <c r="P293" s="205"/>
      <c r="Q293" s="206"/>
      <c r="R293" s="206"/>
      <c r="S293" s="205"/>
      <c r="T293" s="205"/>
      <c r="U293" s="205"/>
      <c r="V293" s="205"/>
      <c r="W293" s="205"/>
      <c r="X293" s="205"/>
      <c r="Y293" s="205"/>
      <c r="Z293" s="205"/>
      <c r="AA293" s="206"/>
      <c r="AB293" s="205"/>
      <c r="AC293" s="206"/>
      <c r="AD293" s="218"/>
      <c r="AE293" s="205"/>
      <c r="AF293" s="205"/>
      <c r="AG293" s="205"/>
      <c r="AH293" s="205"/>
      <c r="AI293" s="205"/>
      <c r="AJ293" s="205"/>
      <c r="AK293" s="205"/>
      <c r="AL293" s="205"/>
      <c r="AM293" s="205"/>
      <c r="AN293" s="205"/>
      <c r="AO293" s="205"/>
      <c r="AP293" s="205"/>
      <c r="AQ293" s="205"/>
      <c r="AR293" s="205"/>
      <c r="AS293" s="206"/>
      <c r="AT293" s="218"/>
      <c r="AU293" s="205"/>
      <c r="AV293" s="206"/>
      <c r="AW293" s="218"/>
      <c r="AX293" s="218"/>
    </row>
    <row r="294" spans="1:50" s="266" customFormat="1" x14ac:dyDescent="0.3">
      <c r="A294" s="222"/>
      <c r="B294" s="222"/>
      <c r="C294" s="205"/>
      <c r="E294" s="205"/>
      <c r="F294" s="205"/>
      <c r="G294" s="205"/>
      <c r="H294" s="212"/>
      <c r="I294" s="205"/>
      <c r="J294" s="205"/>
      <c r="K294" s="205"/>
      <c r="L294" s="205"/>
      <c r="M294" s="205"/>
      <c r="N294" s="205"/>
      <c r="O294" s="205"/>
      <c r="P294" s="205"/>
      <c r="Q294" s="206"/>
      <c r="R294" s="206"/>
      <c r="S294" s="205"/>
      <c r="T294" s="205"/>
      <c r="U294" s="205"/>
      <c r="V294" s="205"/>
      <c r="W294" s="205"/>
      <c r="X294" s="205"/>
      <c r="Y294" s="205"/>
      <c r="Z294" s="205"/>
      <c r="AA294" s="206"/>
      <c r="AB294" s="205"/>
      <c r="AC294" s="206"/>
      <c r="AD294" s="218"/>
      <c r="AE294" s="205"/>
      <c r="AF294" s="205"/>
      <c r="AG294" s="205"/>
      <c r="AH294" s="205"/>
      <c r="AI294" s="205"/>
      <c r="AJ294" s="205"/>
      <c r="AK294" s="205"/>
      <c r="AL294" s="205"/>
      <c r="AM294" s="205"/>
      <c r="AN294" s="205"/>
      <c r="AO294" s="205"/>
      <c r="AP294" s="205"/>
      <c r="AQ294" s="205"/>
      <c r="AR294" s="205"/>
      <c r="AS294" s="206"/>
      <c r="AT294" s="218"/>
      <c r="AU294" s="205"/>
      <c r="AV294" s="206"/>
      <c r="AW294" s="218"/>
      <c r="AX294" s="218"/>
    </row>
    <row r="295" spans="1:50" s="266" customFormat="1" x14ac:dyDescent="0.3">
      <c r="A295" s="222"/>
      <c r="B295" s="222"/>
      <c r="C295" s="205"/>
      <c r="E295" s="205"/>
      <c r="F295" s="205"/>
      <c r="G295" s="205"/>
      <c r="H295" s="212"/>
      <c r="I295" s="205"/>
      <c r="J295" s="205"/>
      <c r="K295" s="205"/>
      <c r="L295" s="205"/>
      <c r="M295" s="205"/>
      <c r="N295" s="205"/>
      <c r="O295" s="205"/>
      <c r="P295" s="205"/>
      <c r="Q295" s="206"/>
      <c r="R295" s="206"/>
      <c r="S295" s="205"/>
      <c r="T295" s="205"/>
      <c r="U295" s="205"/>
      <c r="V295" s="205"/>
      <c r="W295" s="205"/>
      <c r="X295" s="205"/>
      <c r="Y295" s="205"/>
      <c r="Z295" s="205"/>
      <c r="AA295" s="206"/>
      <c r="AB295" s="205"/>
      <c r="AC295" s="206"/>
      <c r="AD295" s="218"/>
      <c r="AE295" s="205"/>
      <c r="AF295" s="205"/>
      <c r="AG295" s="205"/>
      <c r="AH295" s="205"/>
      <c r="AI295" s="205"/>
      <c r="AJ295" s="205"/>
      <c r="AK295" s="205"/>
      <c r="AL295" s="205"/>
      <c r="AM295" s="205"/>
      <c r="AN295" s="205"/>
      <c r="AO295" s="205"/>
      <c r="AP295" s="205"/>
      <c r="AQ295" s="205"/>
      <c r="AR295" s="205"/>
      <c r="AS295" s="206"/>
      <c r="AT295" s="218"/>
      <c r="AU295" s="205"/>
      <c r="AV295" s="206"/>
      <c r="AW295" s="218"/>
      <c r="AX295" s="218"/>
    </row>
    <row r="296" spans="1:50" s="266" customFormat="1" x14ac:dyDescent="0.3">
      <c r="A296" s="222"/>
      <c r="B296" s="222"/>
      <c r="C296" s="205"/>
      <c r="E296" s="205"/>
      <c r="F296" s="205"/>
      <c r="G296" s="205"/>
      <c r="H296" s="212"/>
      <c r="I296" s="205"/>
      <c r="J296" s="205"/>
      <c r="K296" s="205"/>
      <c r="L296" s="205"/>
      <c r="M296" s="205"/>
      <c r="N296" s="205"/>
      <c r="O296" s="205"/>
      <c r="P296" s="205"/>
      <c r="Q296" s="206"/>
      <c r="R296" s="206"/>
      <c r="S296" s="205"/>
      <c r="T296" s="205"/>
      <c r="U296" s="205"/>
      <c r="V296" s="205"/>
      <c r="W296" s="205"/>
      <c r="X296" s="205"/>
      <c r="Y296" s="205"/>
      <c r="Z296" s="205"/>
      <c r="AA296" s="206"/>
      <c r="AB296" s="205"/>
      <c r="AC296" s="206"/>
      <c r="AD296" s="218"/>
      <c r="AE296" s="205"/>
      <c r="AF296" s="205"/>
      <c r="AG296" s="205"/>
      <c r="AH296" s="205"/>
      <c r="AI296" s="205"/>
      <c r="AJ296" s="205"/>
      <c r="AK296" s="205"/>
      <c r="AL296" s="205"/>
      <c r="AM296" s="205"/>
      <c r="AN296" s="205"/>
      <c r="AO296" s="205"/>
      <c r="AP296" s="205"/>
      <c r="AQ296" s="205"/>
      <c r="AR296" s="205"/>
      <c r="AS296" s="206"/>
      <c r="AT296" s="218"/>
      <c r="AU296" s="205"/>
      <c r="AV296" s="206"/>
      <c r="AW296" s="218"/>
      <c r="AX296" s="218"/>
    </row>
  </sheetData>
  <mergeCells count="11">
    <mergeCell ref="C2:D2"/>
    <mergeCell ref="P13:R13"/>
    <mergeCell ref="AR14:AT14"/>
    <mergeCell ref="AU14:AW14"/>
    <mergeCell ref="U13:AD13"/>
    <mergeCell ref="AE14:AO14"/>
    <mergeCell ref="AE13:AO13"/>
    <mergeCell ref="I2:K2"/>
    <mergeCell ref="F2:H2"/>
    <mergeCell ref="L2:N2"/>
    <mergeCell ref="AR13:AX13"/>
  </mergeCells>
  <conditionalFormatting sqref="F252">
    <cfRule type="cellIs" dxfId="16" priority="6" operator="equal">
      <formula>"Yes"</formula>
    </cfRule>
    <cfRule type="containsText" dxfId="15" priority="8" operator="containsText" text="Completed">
      <formula>NOT(ISERROR(SEARCH("Completed",F252)))</formula>
    </cfRule>
  </conditionalFormatting>
  <conditionalFormatting sqref="G242:G251 J242:K251 M242:M251 G248:H251 G17:H18 J17:K18 M17:M18 G28:H29 J28:K29 M28:M29 P29:R29 G39:H43 J39:K43 M39:M43 P42:R42 O43:R43 G54:G58 J54:K58 M54:M58 O54:R58 J92:J98 J102:K106 M102:M106 G105:G106 O106:R106 G157:G158 K157:K158 M157:M158 O243:R251 G266 J266:K266 M266 O266:R266">
    <cfRule type="cellIs" dxfId="14" priority="21" operator="equal">
      <formula>"Yes"</formula>
    </cfRule>
  </conditionalFormatting>
  <conditionalFormatting sqref="G257:G259 K257:K259 M257:M259">
    <cfRule type="cellIs" dxfId="13" priority="26" operator="equal">
      <formula>"Yes"</formula>
    </cfRule>
  </conditionalFormatting>
  <conditionalFormatting sqref="G263 K263 M263">
    <cfRule type="cellIs" dxfId="12" priority="25" operator="equal">
      <formula>"Yes"</formula>
    </cfRule>
  </conditionalFormatting>
  <conditionalFormatting sqref="G16:H18 J16:K18 M16:M18 G241:H251 J241:K251 M241:M251 G75:G84 M75:M84 O75:R84 G140:G143 K140:K143 M140:M143 G145:G146 K145:K146 M145:M146 O152:R152">
    <cfRule type="cellIs" dxfId="11" priority="35" operator="equal">
      <formula>"Yes"</formula>
    </cfRule>
  </conditionalFormatting>
  <conditionalFormatting sqref="G102:H106 G177:G183 G16:H18 K16:K18 M16:M18 G28:H29 K28:K29 M28:M29 P29:R29 G39:H43 K39:K43 M39:M43 P42:R42 O43:R43 G54:G58 K54:K58 M54:M58 O54:R58 K102:K106 M102:M106 O106:R106 G242:G251 K242:K251 M242:M251 O243:R251 G248:H251 G266 K266 M266 O266:R266">
    <cfRule type="containsText" dxfId="10" priority="30" operator="containsText" text="Completed">
      <formula>NOT(ISERROR(SEARCH("Completed",G16)))</formula>
    </cfRule>
  </conditionalFormatting>
  <conditionalFormatting sqref="H116:H193 G185:G193 H255:H266 J53 J100:J106 G102:H106 G129:G137 K129:K137 M129:M137 G148:G152 K148:K152 M148:M152 M160:M181 G160:G183 J160:K183">
    <cfRule type="cellIs" dxfId="9" priority="24" operator="equal">
      <formula>"Yes"</formula>
    </cfRule>
  </conditionalFormatting>
  <conditionalFormatting sqref="J44">
    <cfRule type="cellIs" dxfId="8" priority="5" operator="equal">
      <formula>"Yes"</formula>
    </cfRule>
  </conditionalFormatting>
  <conditionalFormatting sqref="J146">
    <cfRule type="cellIs" dxfId="7" priority="38" operator="equal">
      <formula>"Yes"</formula>
    </cfRule>
  </conditionalFormatting>
  <conditionalFormatting sqref="J227:J253">
    <cfRule type="cellIs" dxfId="6" priority="4" operator="equal">
      <formula>"Yes"</formula>
    </cfRule>
  </conditionalFormatting>
  <conditionalFormatting sqref="J185:K254 M186:M254 G194:H254">
    <cfRule type="cellIs" dxfId="5" priority="9" operator="equal">
      <formula>"Yes"</formula>
    </cfRule>
  </conditionalFormatting>
  <conditionalFormatting sqref="K185:K254 M186:M254 G194:H254 G75:G77 O75:R84 G81:G84 M81:M84 H116:H193 G185:G193 H255:H266">
    <cfRule type="containsText" dxfId="4" priority="17" operator="containsText" text="Completed">
      <formula>NOT(ISERROR(SEARCH("Completed",G75)))</formula>
    </cfRule>
  </conditionalFormatting>
  <conditionalFormatting sqref="K250:K251">
    <cfRule type="cellIs" dxfId="3" priority="1" operator="equal">
      <formula>"Yes"</formula>
    </cfRule>
    <cfRule type="containsText" dxfId="2" priority="2" operator="containsText" text="Completed">
      <formula>NOT(ISERROR(SEARCH("Completed",K250)))</formula>
    </cfRule>
  </conditionalFormatting>
  <conditionalFormatting sqref="L152:M152">
    <cfRule type="cellIs" dxfId="1" priority="34" operator="equal">
      <formula>"Yes"</formula>
    </cfRule>
  </conditionalFormatting>
  <conditionalFormatting sqref="M75:M77 O152:R152 M177:M181 K177:K183">
    <cfRule type="containsText" dxfId="0" priority="36" operator="containsText" text="Completed">
      <formula>NOT(ISERROR(SEARCH("Completed",K75)))</formula>
    </cfRule>
  </conditionalFormatting>
  <dataValidations count="4">
    <dataValidation type="list" allowBlank="1" showInputMessage="1" showErrorMessage="1" sqref="F143 F129:F137 F157:F158 F145 F140:F141 F148:F152 F253:F265" xr:uid="{2FA1CA27-C2C1-4B43-8039-BFCE73792DB9}">
      <formula1>"Pass,Lost,On Hold,Sold"</formula1>
    </dataValidation>
    <dataValidation type="list" allowBlank="1" showInputMessage="1" showErrorMessage="1" sqref="F142 F146 F160:F220 F266 F222:F251" xr:uid="{2734FE09-FFE9-4A4F-9E43-AA24D8573055}">
      <formula1>"Pass,Lost,On Hold"</formula1>
    </dataValidation>
    <dataValidation allowBlank="1" showInputMessage="1" showErrorMessage="1" sqref="K145:K146 G129:G137 G140:G143 K140:K143 G157:G158 G263:H263 K257:K259 K129:K137 K157:K158 G148:G152 K263 G160:G183 K148:K152 K160:K183 G145:G146 G257:G259 H264:H266 H116:H262 G185:G254 F252 K102:K106 G78:G84 M78:M84 M266 G266 G102:H106 M105:M106 M229:M253 K185:K254 M54:M58 G16:H18 K16:K18 M29 M39:M43 G28:H29 G39:H43 K28:K29 K39:K43 G220:H253 G54:G58" xr:uid="{40118305-7F50-4770-98BD-B1A653974F66}"/>
    <dataValidation type="list" allowBlank="1" showInputMessage="1" showErrorMessage="1" sqref="S72:T72" xr:uid="{85D2885A-880A-44AD-B664-B95B586A5FAC}">
      <formula1>"Waiting on Financials,In Progress,Finalizing,Completed"</formula1>
    </dataValidation>
  </dataValidations>
  <pageMargins left="0.7" right="0.7" top="0.75" bottom="0.75" header="0.3" footer="0.3"/>
  <pageSetup orientation="portrait" r:id="rId1"/>
  <ignoredErrors>
    <ignoredError sqref="N6 AA29:AC2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922A-04D8-4F96-B14E-D131ECA1C309}">
  <dimension ref="B3:G15"/>
  <sheetViews>
    <sheetView workbookViewId="0">
      <selection activeCell="F8" sqref="F8"/>
    </sheetView>
  </sheetViews>
  <sheetFormatPr defaultRowHeight="14.4" x14ac:dyDescent="0.3"/>
  <cols>
    <col min="2" max="2" width="31.33203125" customWidth="1"/>
    <col min="3" max="7" width="28.33203125" style="1" customWidth="1"/>
  </cols>
  <sheetData>
    <row r="3" spans="2:7" x14ac:dyDescent="0.3">
      <c r="B3" s="187" t="s">
        <v>0</v>
      </c>
      <c r="C3" s="188" t="s">
        <v>771</v>
      </c>
      <c r="D3" s="188" t="s">
        <v>772</v>
      </c>
      <c r="E3" s="188" t="s">
        <v>105</v>
      </c>
      <c r="F3" s="188" t="s">
        <v>98</v>
      </c>
      <c r="G3" s="188" t="s">
        <v>669</v>
      </c>
    </row>
    <row r="4" spans="2:7" ht="15.75" customHeight="1" x14ac:dyDescent="0.3">
      <c r="B4" t="s">
        <v>485</v>
      </c>
      <c r="C4" s="1" t="e">
        <f>INDEX('M&amp;A Deal Sheet'!$C$15:$AX$275,MATCH($B4,'M&amp;A Deal Sheet'!$B$15:$B$275,0),MATCH(C$3,'M&amp;A Deal Sheet'!$C$14:$AX$14,0))</f>
        <v>#N/A</v>
      </c>
      <c r="D4" s="1" t="e">
        <f>INDEX('M&amp;A Deal Sheet'!$C$15:$AX$275,MATCH($B4,'M&amp;A Deal Sheet'!$B$15:$B$275,0),MATCH(D$3,'M&amp;A Deal Sheet'!$C$14:$AX$14,0))</f>
        <v>#N/A</v>
      </c>
      <c r="E4" s="1" t="e">
        <f>INDEX('M&amp;A Deal Sheet'!$C$15:$AX$275,MATCH($B4,'M&amp;A Deal Sheet'!$B$15:$B$275,0),MATCH(E$3,'M&amp;A Deal Sheet'!$C$14:$AX$14,0))</f>
        <v>#N/A</v>
      </c>
      <c r="F4" s="1" t="e">
        <f>INDEX('M&amp;A Deal Sheet'!$C$15:$AX$275,MATCH($B4,'M&amp;A Deal Sheet'!$B$15:$B$275,0),MATCH(F$3,'M&amp;A Deal Sheet'!$C$14:$AX$14,0))</f>
        <v>#N/A</v>
      </c>
      <c r="G4" s="1" t="e">
        <f>INDEX('M&amp;A Deal Sheet'!$C$15:$AX$275,MATCH($B4,'M&amp;A Deal Sheet'!$B$15:$B$275,0),MATCH(G$3,'M&amp;A Deal Sheet'!$C$14:$AX$14,0))</f>
        <v>#N/A</v>
      </c>
    </row>
    <row r="5" spans="2:7" ht="15.75" customHeight="1" x14ac:dyDescent="0.3">
      <c r="B5" t="s">
        <v>773</v>
      </c>
      <c r="C5" s="1" t="e">
        <f>INDEX('M&amp;A Deal Sheet'!$C$15:$AX$275,MATCH($B5,'M&amp;A Deal Sheet'!$B$15:$B$275,0),MATCH(C$3,'M&amp;A Deal Sheet'!$C$14:$AX$14,0))</f>
        <v>#N/A</v>
      </c>
      <c r="D5" s="1" t="e">
        <f>INDEX('M&amp;A Deal Sheet'!$C$15:$AX$275,MATCH($B5,'M&amp;A Deal Sheet'!$B$15:$B$275,0),MATCH(D$3,'M&amp;A Deal Sheet'!$C$14:$AX$14,0))</f>
        <v>#N/A</v>
      </c>
      <c r="E5" s="1" t="e">
        <f>INDEX('M&amp;A Deal Sheet'!$C$15:$AX$275,MATCH($B5,'M&amp;A Deal Sheet'!$B$15:$B$275,0),MATCH(E$3,'M&amp;A Deal Sheet'!$C$14:$AX$14,0))</f>
        <v>#N/A</v>
      </c>
      <c r="F5" s="1" t="e">
        <f>INDEX('M&amp;A Deal Sheet'!$C$15:$AX$275,MATCH($B5,'M&amp;A Deal Sheet'!$B$15:$B$275,0),MATCH(F$3,'M&amp;A Deal Sheet'!$C$14:$AX$14,0))</f>
        <v>#N/A</v>
      </c>
      <c r="G5" s="1" t="e">
        <f>INDEX('M&amp;A Deal Sheet'!$C$15:$AX$275,MATCH($B5,'M&amp;A Deal Sheet'!$B$15:$B$275,0),MATCH(G$3,'M&amp;A Deal Sheet'!$C$14:$AX$14,0))</f>
        <v>#N/A</v>
      </c>
    </row>
    <row r="6" spans="2:7" x14ac:dyDescent="0.3">
      <c r="B6" t="s">
        <v>774</v>
      </c>
      <c r="C6" s="1" t="e">
        <f>INDEX('M&amp;A Deal Sheet'!$C$15:$AX$275,MATCH($B6,'M&amp;A Deal Sheet'!$B$15:$B$275,0),MATCH(C$3,'M&amp;A Deal Sheet'!$C$14:$AX$14,0))</f>
        <v>#N/A</v>
      </c>
      <c r="D6" s="1" t="e">
        <f>INDEX('M&amp;A Deal Sheet'!$C$15:$AX$275,MATCH($B6,'M&amp;A Deal Sheet'!$B$15:$B$275,0),MATCH(D$3,'M&amp;A Deal Sheet'!$C$14:$AX$14,0))</f>
        <v>#N/A</v>
      </c>
      <c r="E6" s="1" t="e">
        <f>INDEX('M&amp;A Deal Sheet'!$C$15:$AX$275,MATCH($B6,'M&amp;A Deal Sheet'!$B$15:$B$275,0),MATCH(E$3,'M&amp;A Deal Sheet'!$C$14:$AX$14,0))</f>
        <v>#N/A</v>
      </c>
      <c r="F6" s="1" t="e">
        <f>INDEX('M&amp;A Deal Sheet'!$C$15:$AX$275,MATCH($B6,'M&amp;A Deal Sheet'!$B$15:$B$275,0),MATCH(F$3,'M&amp;A Deal Sheet'!$C$14:$AX$14,0))</f>
        <v>#N/A</v>
      </c>
      <c r="G6" s="1" t="e">
        <f>INDEX('M&amp;A Deal Sheet'!$C$15:$AX$275,MATCH($B6,'M&amp;A Deal Sheet'!$B$15:$B$275,0),MATCH(G$3,'M&amp;A Deal Sheet'!$C$14:$AX$14,0))</f>
        <v>#N/A</v>
      </c>
    </row>
    <row r="7" spans="2:7" x14ac:dyDescent="0.3">
      <c r="B7" t="s">
        <v>775</v>
      </c>
      <c r="C7" s="1" t="e">
        <f>INDEX('M&amp;A Deal Sheet'!$C$15:$AX$275,MATCH($B7,'M&amp;A Deal Sheet'!$B$15:$B$275,0),MATCH(C$3,'M&amp;A Deal Sheet'!$C$14:$AX$14,0))</f>
        <v>#N/A</v>
      </c>
      <c r="D7" s="1" t="e">
        <f>INDEX('M&amp;A Deal Sheet'!$C$15:$AX$275,MATCH($B7,'M&amp;A Deal Sheet'!$B$15:$B$275,0),MATCH(D$3,'M&amp;A Deal Sheet'!$C$14:$AX$14,0))</f>
        <v>#N/A</v>
      </c>
      <c r="E7" s="1" t="e">
        <f>INDEX('M&amp;A Deal Sheet'!$C$15:$AX$275,MATCH($B7,'M&amp;A Deal Sheet'!$B$15:$B$275,0),MATCH(E$3,'M&amp;A Deal Sheet'!$C$14:$AX$14,0))</f>
        <v>#N/A</v>
      </c>
      <c r="F7" s="1" t="e">
        <f>INDEX('M&amp;A Deal Sheet'!$C$15:$AX$275,MATCH($B7,'M&amp;A Deal Sheet'!$B$15:$B$275,0),MATCH(F$3,'M&amp;A Deal Sheet'!$C$14:$AX$14,0))</f>
        <v>#N/A</v>
      </c>
      <c r="G7" s="1" t="e">
        <f>INDEX('M&amp;A Deal Sheet'!$C$15:$AX$275,MATCH($B7,'M&amp;A Deal Sheet'!$B$15:$B$275,0),MATCH(G$3,'M&amp;A Deal Sheet'!$C$14:$AX$14,0))</f>
        <v>#N/A</v>
      </c>
    </row>
    <row r="8" spans="2:7" x14ac:dyDescent="0.3">
      <c r="B8" t="s">
        <v>497</v>
      </c>
      <c r="C8" s="1" t="e">
        <f>INDEX('M&amp;A Deal Sheet'!$C$15:$AX$275,MATCH($B8,'M&amp;A Deal Sheet'!$B$15:$B$275,0),MATCH(C$3,'M&amp;A Deal Sheet'!$C$14:$AX$14,0))</f>
        <v>#N/A</v>
      </c>
      <c r="D8" s="1" t="e">
        <f>INDEX('M&amp;A Deal Sheet'!$C$15:$AX$275,MATCH($B8,'M&amp;A Deal Sheet'!$B$15:$B$275,0),MATCH(D$3,'M&amp;A Deal Sheet'!$C$14:$AX$14,0))</f>
        <v>#N/A</v>
      </c>
      <c r="E8" s="1" t="e">
        <f>INDEX('M&amp;A Deal Sheet'!$C$15:$AX$275,MATCH($B8,'M&amp;A Deal Sheet'!$B$15:$B$275,0),MATCH(E$3,'M&amp;A Deal Sheet'!$C$14:$AX$14,0))</f>
        <v>#N/A</v>
      </c>
      <c r="F8" s="1" t="e">
        <f>INDEX('M&amp;A Deal Sheet'!$C$15:$AX$275,MATCH($B8,'M&amp;A Deal Sheet'!$B$15:$B$275,0),MATCH(F$3,'M&amp;A Deal Sheet'!$C$14:$AX$14,0))</f>
        <v>#N/A</v>
      </c>
      <c r="G8" s="1" t="e">
        <f>INDEX('M&amp;A Deal Sheet'!$C$15:$AX$275,MATCH($B8,'M&amp;A Deal Sheet'!$B$15:$B$275,0),MATCH(G$3,'M&amp;A Deal Sheet'!$C$14:$AX$14,0))</f>
        <v>#N/A</v>
      </c>
    </row>
    <row r="9" spans="2:7" x14ac:dyDescent="0.3">
      <c r="B9" t="s">
        <v>496</v>
      </c>
      <c r="C9" s="1" t="e">
        <f>INDEX('M&amp;A Deal Sheet'!$C$15:$AX$275,MATCH($B9,'M&amp;A Deal Sheet'!$B$15:$B$275,0),MATCH(C$3,'M&amp;A Deal Sheet'!$C$14:$AX$14,0))</f>
        <v>#N/A</v>
      </c>
      <c r="D9" s="1" t="e">
        <f>INDEX('M&amp;A Deal Sheet'!$C$15:$AX$275,MATCH($B9,'M&amp;A Deal Sheet'!$B$15:$B$275,0),MATCH(D$3,'M&amp;A Deal Sheet'!$C$14:$AX$14,0))</f>
        <v>#N/A</v>
      </c>
      <c r="E9" s="1" t="e">
        <f>INDEX('M&amp;A Deal Sheet'!$C$15:$AX$275,MATCH($B9,'M&amp;A Deal Sheet'!$B$15:$B$275,0),MATCH(E$3,'M&amp;A Deal Sheet'!$C$14:$AX$14,0))</f>
        <v>#N/A</v>
      </c>
      <c r="F9" s="1" t="e">
        <f>INDEX('M&amp;A Deal Sheet'!$C$15:$AX$275,MATCH($B9,'M&amp;A Deal Sheet'!$B$15:$B$275,0),MATCH(F$3,'M&amp;A Deal Sheet'!$C$14:$AX$14,0))</f>
        <v>#N/A</v>
      </c>
      <c r="G9" s="1" t="e">
        <f>INDEX('M&amp;A Deal Sheet'!$C$15:$AX$275,MATCH($B9,'M&amp;A Deal Sheet'!$B$15:$B$275,0),MATCH(G$3,'M&amp;A Deal Sheet'!$C$14:$AX$14,0))</f>
        <v>#N/A</v>
      </c>
    </row>
    <row r="10" spans="2:7" x14ac:dyDescent="0.3">
      <c r="B10" t="s">
        <v>495</v>
      </c>
      <c r="C10" s="1" t="e">
        <f>INDEX('M&amp;A Deal Sheet'!$C$15:$AX$275,MATCH($B10,'M&amp;A Deal Sheet'!$B$15:$B$275,0),MATCH(C$3,'M&amp;A Deal Sheet'!$C$14:$AX$14,0))</f>
        <v>#N/A</v>
      </c>
      <c r="D10" s="1" t="e">
        <f>INDEX('M&amp;A Deal Sheet'!$C$15:$AX$275,MATCH($B10,'M&amp;A Deal Sheet'!$B$15:$B$275,0),MATCH(D$3,'M&amp;A Deal Sheet'!$C$14:$AX$14,0))</f>
        <v>#N/A</v>
      </c>
      <c r="E10" s="1" t="e">
        <f>INDEX('M&amp;A Deal Sheet'!$C$15:$AX$275,MATCH($B10,'M&amp;A Deal Sheet'!$B$15:$B$275,0),MATCH(E$3,'M&amp;A Deal Sheet'!$C$14:$AX$14,0))</f>
        <v>#N/A</v>
      </c>
      <c r="F10" s="1" t="e">
        <f>INDEX('M&amp;A Deal Sheet'!$C$15:$AX$275,MATCH($B10,'M&amp;A Deal Sheet'!$B$15:$B$275,0),MATCH(F$3,'M&amp;A Deal Sheet'!$C$14:$AX$14,0))</f>
        <v>#N/A</v>
      </c>
      <c r="G10" s="1" t="e">
        <f>INDEX('M&amp;A Deal Sheet'!$C$15:$AX$275,MATCH($B10,'M&amp;A Deal Sheet'!$B$15:$B$275,0),MATCH(G$3,'M&amp;A Deal Sheet'!$C$14:$AX$14,0))</f>
        <v>#N/A</v>
      </c>
    </row>
    <row r="11" spans="2:7" x14ac:dyDescent="0.3">
      <c r="B11" t="s">
        <v>776</v>
      </c>
      <c r="C11" s="1" t="e">
        <f>INDEX('M&amp;A Deal Sheet'!$C$15:$AX$275,MATCH($B11,'M&amp;A Deal Sheet'!$B$15:$B$275,0),MATCH(C$3,'M&amp;A Deal Sheet'!$C$14:$AX$14,0))</f>
        <v>#N/A</v>
      </c>
      <c r="D11" s="1" t="e">
        <f>INDEX('M&amp;A Deal Sheet'!$C$15:$AX$275,MATCH($B11,'M&amp;A Deal Sheet'!$B$15:$B$275,0),MATCH(D$3,'M&amp;A Deal Sheet'!$C$14:$AX$14,0))</f>
        <v>#N/A</v>
      </c>
      <c r="E11" s="1" t="e">
        <f>INDEX('M&amp;A Deal Sheet'!$C$15:$AX$275,MATCH($B11,'M&amp;A Deal Sheet'!$B$15:$B$275,0),MATCH(E$3,'M&amp;A Deal Sheet'!$C$14:$AX$14,0))</f>
        <v>#N/A</v>
      </c>
      <c r="F11" s="1" t="e">
        <f>INDEX('M&amp;A Deal Sheet'!$C$15:$AX$275,MATCH($B11,'M&amp;A Deal Sheet'!$B$15:$B$275,0),MATCH(F$3,'M&amp;A Deal Sheet'!$C$14:$AX$14,0))</f>
        <v>#N/A</v>
      </c>
      <c r="G11" s="1" t="e">
        <f>INDEX('M&amp;A Deal Sheet'!$C$15:$AX$275,MATCH($B11,'M&amp;A Deal Sheet'!$B$15:$B$275,0),MATCH(G$3,'M&amp;A Deal Sheet'!$C$14:$AX$14,0))</f>
        <v>#N/A</v>
      </c>
    </row>
    <row r="12" spans="2:7" x14ac:dyDescent="0.3">
      <c r="B12" t="s">
        <v>489</v>
      </c>
      <c r="C12" s="1" t="e">
        <f>INDEX('M&amp;A Deal Sheet'!$C$15:$AX$275,MATCH($B12,'M&amp;A Deal Sheet'!$B$15:$B$275,0),MATCH(C$3,'M&amp;A Deal Sheet'!$C$14:$AX$14,0))</f>
        <v>#N/A</v>
      </c>
      <c r="D12" s="1" t="e">
        <f>INDEX('M&amp;A Deal Sheet'!$C$15:$AX$275,MATCH($B12,'M&amp;A Deal Sheet'!$B$15:$B$275,0),MATCH(D$3,'M&amp;A Deal Sheet'!$C$14:$AX$14,0))</f>
        <v>#N/A</v>
      </c>
      <c r="E12" s="1" t="e">
        <f>INDEX('M&amp;A Deal Sheet'!$C$15:$AX$275,MATCH($B12,'M&amp;A Deal Sheet'!$B$15:$B$275,0),MATCH(E$3,'M&amp;A Deal Sheet'!$C$14:$AX$14,0))</f>
        <v>#N/A</v>
      </c>
      <c r="F12" s="1" t="e">
        <f>INDEX('M&amp;A Deal Sheet'!$C$15:$AX$275,MATCH($B12,'M&amp;A Deal Sheet'!$B$15:$B$275,0),MATCH(F$3,'M&amp;A Deal Sheet'!$C$14:$AX$14,0))</f>
        <v>#N/A</v>
      </c>
      <c r="G12" s="1" t="e">
        <f>INDEX('M&amp;A Deal Sheet'!$C$15:$AX$275,MATCH($B12,'M&amp;A Deal Sheet'!$B$15:$B$275,0),MATCH(G$3,'M&amp;A Deal Sheet'!$C$14:$AX$14,0))</f>
        <v>#N/A</v>
      </c>
    </row>
    <row r="13" spans="2:7" x14ac:dyDescent="0.3">
      <c r="B13" t="s">
        <v>777</v>
      </c>
      <c r="C13" s="1" t="e">
        <f>INDEX('M&amp;A Deal Sheet'!$C$15:$AX$275,MATCH($B13,'M&amp;A Deal Sheet'!$B$15:$B$275,0),MATCH(C$3,'M&amp;A Deal Sheet'!$C$14:$AX$14,0))</f>
        <v>#N/A</v>
      </c>
      <c r="D13" s="1" t="e">
        <f>INDEX('M&amp;A Deal Sheet'!$C$15:$AX$275,MATCH($B13,'M&amp;A Deal Sheet'!$B$15:$B$275,0),MATCH(D$3,'M&amp;A Deal Sheet'!$C$14:$AX$14,0))</f>
        <v>#N/A</v>
      </c>
      <c r="E13" s="1" t="e">
        <f>INDEX('M&amp;A Deal Sheet'!$C$15:$AX$275,MATCH($B13,'M&amp;A Deal Sheet'!$B$15:$B$275,0),MATCH(E$3,'M&amp;A Deal Sheet'!$C$14:$AX$14,0))</f>
        <v>#N/A</v>
      </c>
      <c r="F13" s="1" t="e">
        <f>INDEX('M&amp;A Deal Sheet'!$C$15:$AX$275,MATCH($B13,'M&amp;A Deal Sheet'!$B$15:$B$275,0),MATCH(F$3,'M&amp;A Deal Sheet'!$C$14:$AX$14,0))</f>
        <v>#N/A</v>
      </c>
      <c r="G13" s="1" t="e">
        <f>INDEX('M&amp;A Deal Sheet'!$C$15:$AX$275,MATCH($B13,'M&amp;A Deal Sheet'!$B$15:$B$275,0),MATCH(G$3,'M&amp;A Deal Sheet'!$C$14:$AX$14,0))</f>
        <v>#N/A</v>
      </c>
    </row>
    <row r="14" spans="2:7" x14ac:dyDescent="0.3">
      <c r="B14" t="s">
        <v>778</v>
      </c>
      <c r="C14" s="1" t="e">
        <f>INDEX('M&amp;A Deal Sheet'!$C$15:$AX$275,MATCH($B14,'M&amp;A Deal Sheet'!$B$15:$B$275,0),MATCH(C$3,'M&amp;A Deal Sheet'!$C$14:$AX$14,0))</f>
        <v>#N/A</v>
      </c>
      <c r="D14" s="1" t="e">
        <f>INDEX('M&amp;A Deal Sheet'!$C$15:$AX$275,MATCH($B14,'M&amp;A Deal Sheet'!$B$15:$B$275,0),MATCH(D$3,'M&amp;A Deal Sheet'!$C$14:$AX$14,0))</f>
        <v>#N/A</v>
      </c>
      <c r="E14" s="1" t="e">
        <f>INDEX('M&amp;A Deal Sheet'!$C$15:$AX$275,MATCH($B14,'M&amp;A Deal Sheet'!$B$15:$B$275,0),MATCH(E$3,'M&amp;A Deal Sheet'!$C$14:$AX$14,0))</f>
        <v>#N/A</v>
      </c>
      <c r="F14" s="1" t="e">
        <f>INDEX('M&amp;A Deal Sheet'!$C$15:$AX$275,MATCH($B14,'M&amp;A Deal Sheet'!$B$15:$B$275,0),MATCH(F$3,'M&amp;A Deal Sheet'!$C$14:$AX$14,0))</f>
        <v>#N/A</v>
      </c>
      <c r="G14" s="1" t="e">
        <f>INDEX('M&amp;A Deal Sheet'!$C$15:$AX$275,MATCH($B14,'M&amp;A Deal Sheet'!$B$15:$B$275,0),MATCH(G$3,'M&amp;A Deal Sheet'!$C$14:$AX$14,0))</f>
        <v>#N/A</v>
      </c>
    </row>
    <row r="15" spans="2:7" x14ac:dyDescent="0.3">
      <c r="B15" t="s">
        <v>491</v>
      </c>
      <c r="C15" s="1" t="e">
        <f>INDEX('M&amp;A Deal Sheet'!$C$15:$AX$275,MATCH($B15,'M&amp;A Deal Sheet'!$B$15:$B$275,0),MATCH(C$3,'M&amp;A Deal Sheet'!$C$14:$AX$14,0))</f>
        <v>#N/A</v>
      </c>
      <c r="D15" s="1" t="e">
        <f>INDEX('M&amp;A Deal Sheet'!$C$15:$AX$275,MATCH($B15,'M&amp;A Deal Sheet'!$B$15:$B$275,0),MATCH(D$3,'M&amp;A Deal Sheet'!$C$14:$AX$14,0))</f>
        <v>#N/A</v>
      </c>
      <c r="E15" s="1" t="e">
        <f>INDEX('M&amp;A Deal Sheet'!$C$15:$AX$275,MATCH($B15,'M&amp;A Deal Sheet'!$B$15:$B$275,0),MATCH(E$3,'M&amp;A Deal Sheet'!$C$14:$AX$14,0))</f>
        <v>#N/A</v>
      </c>
      <c r="F15" s="1" t="e">
        <f>INDEX('M&amp;A Deal Sheet'!$C$15:$AX$275,MATCH($B15,'M&amp;A Deal Sheet'!$B$15:$B$275,0),MATCH(F$3,'M&amp;A Deal Sheet'!$C$14:$AX$14,0))</f>
        <v>#N/A</v>
      </c>
      <c r="G15" s="1" t="e">
        <f>INDEX('M&amp;A Deal Sheet'!$C$15:$AX$275,MATCH($B15,'M&amp;A Deal Sheet'!$B$15:$B$275,0),MATCH(G$3,'M&amp;A Deal Sheet'!$C$14:$AX$14,0))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92FE-281B-4BCC-9FFA-79FE7823EEF4}">
  <dimension ref="A1:T394"/>
  <sheetViews>
    <sheetView topLeftCell="F1" workbookViewId="0">
      <selection activeCell="R22" sqref="R22"/>
    </sheetView>
  </sheetViews>
  <sheetFormatPr defaultRowHeight="14.4" x14ac:dyDescent="0.3"/>
  <cols>
    <col min="2" max="2" width="9.109375" style="1"/>
    <col min="5" max="5" width="17.5546875" customWidth="1"/>
    <col min="9" max="9" width="15.33203125" bestFit="1" customWidth="1"/>
    <col min="12" max="12" width="38.33203125" bestFit="1" customWidth="1"/>
  </cols>
  <sheetData>
    <row r="1" spans="1:20" x14ac:dyDescent="0.3">
      <c r="A1" t="s">
        <v>219</v>
      </c>
      <c r="B1" s="1">
        <f>COUNTIF('M&amp;A Deal Sheet'!$E:$E,A1)</f>
        <v>2</v>
      </c>
      <c r="C1" t="s">
        <v>779</v>
      </c>
      <c r="I1" s="191" t="s">
        <v>780</v>
      </c>
      <c r="J1" s="191" t="s">
        <v>559</v>
      </c>
      <c r="L1" t="s">
        <v>780</v>
      </c>
      <c r="M1" t="str">
        <f>VLOOKUP(L1, $I$1:$J$50, 2, FALSE)</f>
        <v>AL</v>
      </c>
      <c r="N1" t="s">
        <v>219</v>
      </c>
      <c r="O1" s="1">
        <f>COUNTIF(M:M,N1)</f>
        <v>17</v>
      </c>
    </row>
    <row r="2" spans="1:20" x14ac:dyDescent="0.3">
      <c r="A2" t="s">
        <v>335</v>
      </c>
      <c r="B2" s="1">
        <f>COUNTIF('M&amp;A Deal Sheet'!$E:$E,A2)</f>
        <v>2</v>
      </c>
      <c r="C2" t="s">
        <v>779</v>
      </c>
      <c r="E2" t="s">
        <v>779</v>
      </c>
      <c r="F2" s="1">
        <f>SUMIFS($B:$B,$C:$C,E2)</f>
        <v>8</v>
      </c>
      <c r="G2" s="190">
        <f t="shared" ref="G2:G5" si="0">F2/$F$7</f>
        <v>0.04</v>
      </c>
      <c r="I2" s="191" t="s">
        <v>781</v>
      </c>
      <c r="J2" s="191" t="s">
        <v>782</v>
      </c>
      <c r="L2" t="s">
        <v>780</v>
      </c>
      <c r="M2" t="str">
        <f t="shared" ref="M2:M65" si="1">VLOOKUP(L2, $I$1:$J$50, 2, FALSE)</f>
        <v>AL</v>
      </c>
      <c r="N2" t="s">
        <v>335</v>
      </c>
      <c r="O2" s="1">
        <f t="shared" ref="O2:O51" si="2">COUNTIF(M:M,N2)</f>
        <v>3</v>
      </c>
      <c r="R2" t="s">
        <v>779</v>
      </c>
      <c r="S2" s="1">
        <f>SUMIFS($O:$O,$C:$C,R2)</f>
        <v>42</v>
      </c>
      <c r="T2" s="190">
        <f>S2/$S$7</f>
        <v>0.1065989847715736</v>
      </c>
    </row>
    <row r="3" spans="1:20" x14ac:dyDescent="0.3">
      <c r="A3" t="s">
        <v>94</v>
      </c>
      <c r="B3" s="1">
        <f>COUNTIF('M&amp;A Deal Sheet'!$E:$E,A3)</f>
        <v>3</v>
      </c>
      <c r="C3" t="s">
        <v>779</v>
      </c>
      <c r="E3" t="s">
        <v>783</v>
      </c>
      <c r="F3" s="1">
        <f t="shared" ref="F3:F6" si="3">SUMIFS($B:$B,$C:$C,E3)</f>
        <v>16</v>
      </c>
      <c r="G3" s="190">
        <f t="shared" si="0"/>
        <v>0.08</v>
      </c>
      <c r="I3" s="191" t="s">
        <v>784</v>
      </c>
      <c r="J3" s="191" t="s">
        <v>282</v>
      </c>
      <c r="L3" t="s">
        <v>780</v>
      </c>
      <c r="M3" t="str">
        <f t="shared" si="1"/>
        <v>AL</v>
      </c>
      <c r="N3" t="s">
        <v>94</v>
      </c>
      <c r="O3" s="1">
        <f t="shared" si="2"/>
        <v>15</v>
      </c>
      <c r="R3" t="s">
        <v>783</v>
      </c>
      <c r="S3" s="1">
        <f t="shared" ref="S3:S6" si="4">SUMIFS($O:$O,$C:$C,R3)</f>
        <v>12</v>
      </c>
      <c r="T3" s="190">
        <f t="shared" ref="T3:T6" si="5">S3/$S$7</f>
        <v>3.0456852791878174E-2</v>
      </c>
    </row>
    <row r="4" spans="1:20" x14ac:dyDescent="0.3">
      <c r="A4" t="s">
        <v>643</v>
      </c>
      <c r="B4" s="1">
        <f>COUNTIF('M&amp;A Deal Sheet'!$E:$E,A4)</f>
        <v>1</v>
      </c>
      <c r="C4" t="s">
        <v>779</v>
      </c>
      <c r="E4" t="s">
        <v>785</v>
      </c>
      <c r="F4" s="1">
        <f t="shared" si="3"/>
        <v>99</v>
      </c>
      <c r="G4" s="190">
        <f t="shared" si="0"/>
        <v>0.495</v>
      </c>
      <c r="I4" s="191" t="s">
        <v>786</v>
      </c>
      <c r="J4" s="191" t="s">
        <v>426</v>
      </c>
      <c r="L4" t="s">
        <v>780</v>
      </c>
      <c r="M4" t="str">
        <f t="shared" si="1"/>
        <v>AL</v>
      </c>
      <c r="N4" t="s">
        <v>643</v>
      </c>
      <c r="O4" s="1">
        <f t="shared" si="2"/>
        <v>2</v>
      </c>
      <c r="R4" t="s">
        <v>785</v>
      </c>
      <c r="S4" s="1">
        <f>SUMIFS($O:$O,$C:$C,R4)</f>
        <v>207</v>
      </c>
      <c r="T4" s="190">
        <f t="shared" si="5"/>
        <v>0.52538071065989844</v>
      </c>
    </row>
    <row r="5" spans="1:20" x14ac:dyDescent="0.3">
      <c r="A5" t="s">
        <v>787</v>
      </c>
      <c r="B5" s="1">
        <f>COUNTIF('M&amp;A Deal Sheet'!$E:$E,A5)</f>
        <v>0</v>
      </c>
      <c r="C5" t="s">
        <v>779</v>
      </c>
      <c r="E5" t="s">
        <v>788</v>
      </c>
      <c r="F5" s="1">
        <f t="shared" si="3"/>
        <v>48</v>
      </c>
      <c r="G5" s="190">
        <f t="shared" si="0"/>
        <v>0.24</v>
      </c>
      <c r="I5" s="191" t="s">
        <v>789</v>
      </c>
      <c r="J5" s="191" t="s">
        <v>57</v>
      </c>
      <c r="L5" t="s">
        <v>780</v>
      </c>
      <c r="M5" t="str">
        <f t="shared" si="1"/>
        <v>AL</v>
      </c>
      <c r="N5" t="s">
        <v>787</v>
      </c>
      <c r="O5" s="1">
        <f t="shared" si="2"/>
        <v>5</v>
      </c>
      <c r="R5" t="s">
        <v>788</v>
      </c>
      <c r="S5" s="1">
        <f t="shared" si="4"/>
        <v>96</v>
      </c>
      <c r="T5" s="190">
        <f t="shared" si="5"/>
        <v>0.24365482233502539</v>
      </c>
    </row>
    <row r="6" spans="1:20" x14ac:dyDescent="0.3">
      <c r="A6" t="s">
        <v>790</v>
      </c>
      <c r="B6" s="1">
        <f>COUNTIF('M&amp;A Deal Sheet'!$E:$E,A6)</f>
        <v>0</v>
      </c>
      <c r="C6" t="s">
        <v>779</v>
      </c>
      <c r="E6" t="s">
        <v>791</v>
      </c>
      <c r="F6" s="1">
        <f t="shared" si="3"/>
        <v>29</v>
      </c>
      <c r="G6" s="190">
        <f>F6/$F$7</f>
        <v>0.14499999999999999</v>
      </c>
      <c r="I6" s="191" t="s">
        <v>792</v>
      </c>
      <c r="J6" s="191" t="s">
        <v>793</v>
      </c>
      <c r="L6" t="s">
        <v>780</v>
      </c>
      <c r="M6" t="str">
        <f t="shared" si="1"/>
        <v>AL</v>
      </c>
      <c r="N6" t="s">
        <v>790</v>
      </c>
      <c r="O6" s="1">
        <f t="shared" si="2"/>
        <v>0</v>
      </c>
      <c r="R6" t="s">
        <v>791</v>
      </c>
      <c r="S6" s="1">
        <f t="shared" si="4"/>
        <v>37</v>
      </c>
      <c r="T6" s="190">
        <f t="shared" si="5"/>
        <v>9.3908629441624369E-2</v>
      </c>
    </row>
    <row r="7" spans="1:20" ht="15" thickBot="1" x14ac:dyDescent="0.35">
      <c r="A7" t="s">
        <v>115</v>
      </c>
      <c r="B7" s="1">
        <f>COUNTIF('M&amp;A Deal Sheet'!$E:$E,A7)</f>
        <v>10</v>
      </c>
      <c r="C7" t="s">
        <v>788</v>
      </c>
      <c r="F7" s="189">
        <f>SUM(F2:F6)</f>
        <v>200</v>
      </c>
      <c r="G7" s="190"/>
      <c r="I7" s="191" t="s">
        <v>794</v>
      </c>
      <c r="J7" s="191" t="s">
        <v>219</v>
      </c>
      <c r="L7" t="s">
        <v>780</v>
      </c>
      <c r="M7" t="str">
        <f t="shared" si="1"/>
        <v>AL</v>
      </c>
      <c r="N7" t="s">
        <v>115</v>
      </c>
      <c r="O7" s="1">
        <f t="shared" si="2"/>
        <v>25</v>
      </c>
      <c r="S7" s="189">
        <f>SUM(S2:S6)</f>
        <v>394</v>
      </c>
      <c r="T7" s="190"/>
    </row>
    <row r="8" spans="1:20" ht="15" thickTop="1" x14ac:dyDescent="0.3">
      <c r="A8" t="s">
        <v>75</v>
      </c>
      <c r="B8" s="1">
        <f>COUNTIF('M&amp;A Deal Sheet'!$E:$E,A8)</f>
        <v>17</v>
      </c>
      <c r="C8" t="s">
        <v>788</v>
      </c>
      <c r="I8" s="191" t="s">
        <v>795</v>
      </c>
      <c r="J8" s="191" t="s">
        <v>157</v>
      </c>
      <c r="L8" t="s">
        <v>780</v>
      </c>
      <c r="M8" t="str">
        <f t="shared" si="1"/>
        <v>AL</v>
      </c>
      <c r="N8" t="s">
        <v>75</v>
      </c>
      <c r="O8" s="1">
        <f t="shared" si="2"/>
        <v>26</v>
      </c>
    </row>
    <row r="9" spans="1:20" x14ac:dyDescent="0.3">
      <c r="A9" t="s">
        <v>295</v>
      </c>
      <c r="B9" s="1">
        <f>COUNTIF('M&amp;A Deal Sheet'!$E:$E,A9)</f>
        <v>1</v>
      </c>
      <c r="C9" t="s">
        <v>788</v>
      </c>
      <c r="I9" s="191" t="s">
        <v>542</v>
      </c>
      <c r="J9" s="191" t="s">
        <v>31</v>
      </c>
      <c r="L9" t="s">
        <v>780</v>
      </c>
      <c r="M9" t="str">
        <f t="shared" si="1"/>
        <v>AL</v>
      </c>
      <c r="N9" t="s">
        <v>295</v>
      </c>
      <c r="O9" s="1">
        <f t="shared" si="2"/>
        <v>2</v>
      </c>
    </row>
    <row r="10" spans="1:20" x14ac:dyDescent="0.3">
      <c r="A10" t="s">
        <v>198</v>
      </c>
      <c r="B10" s="1">
        <f>COUNTIF('M&amp;A Deal Sheet'!$E:$E,A10)</f>
        <v>1</v>
      </c>
      <c r="C10" t="s">
        <v>783</v>
      </c>
      <c r="I10" s="191" t="s">
        <v>796</v>
      </c>
      <c r="J10" s="191" t="s">
        <v>410</v>
      </c>
      <c r="L10" t="s">
        <v>780</v>
      </c>
      <c r="M10" t="str">
        <f t="shared" si="1"/>
        <v>AL</v>
      </c>
      <c r="N10" t="s">
        <v>198</v>
      </c>
      <c r="O10" s="1">
        <f t="shared" si="2"/>
        <v>3</v>
      </c>
    </row>
    <row r="11" spans="1:20" x14ac:dyDescent="0.3">
      <c r="A11" t="s">
        <v>225</v>
      </c>
      <c r="B11" s="1">
        <f>COUNTIF('M&amp;A Deal Sheet'!$E:$E,A11)</f>
        <v>2</v>
      </c>
      <c r="C11" t="s">
        <v>783</v>
      </c>
      <c r="I11" s="191" t="s">
        <v>797</v>
      </c>
      <c r="J11" s="191" t="s">
        <v>798</v>
      </c>
      <c r="L11" t="s">
        <v>784</v>
      </c>
      <c r="M11" t="str">
        <f t="shared" si="1"/>
        <v>AZ</v>
      </c>
      <c r="N11" t="s">
        <v>225</v>
      </c>
      <c r="O11" s="1">
        <f t="shared" si="2"/>
        <v>0</v>
      </c>
    </row>
    <row r="12" spans="1:20" x14ac:dyDescent="0.3">
      <c r="A12" t="s">
        <v>122</v>
      </c>
      <c r="B12" s="1">
        <f>COUNTIF('M&amp;A Deal Sheet'!$E:$E,A12)</f>
        <v>6</v>
      </c>
      <c r="C12" t="s">
        <v>783</v>
      </c>
      <c r="I12" s="191" t="s">
        <v>799</v>
      </c>
      <c r="J12" s="191" t="s">
        <v>577</v>
      </c>
      <c r="L12" t="s">
        <v>784</v>
      </c>
      <c r="M12" t="str">
        <f t="shared" si="1"/>
        <v>AZ</v>
      </c>
      <c r="N12" t="s">
        <v>122</v>
      </c>
      <c r="O12" s="1">
        <f t="shared" si="2"/>
        <v>4</v>
      </c>
    </row>
    <row r="13" spans="1:20" x14ac:dyDescent="0.3">
      <c r="A13" t="s">
        <v>188</v>
      </c>
      <c r="B13" s="1">
        <f>COUNTIF('M&amp;A Deal Sheet'!$E:$E,A13)</f>
        <v>2</v>
      </c>
      <c r="C13" t="s">
        <v>783</v>
      </c>
      <c r="I13" s="191" t="s">
        <v>800</v>
      </c>
      <c r="J13" s="191" t="s">
        <v>198</v>
      </c>
      <c r="L13" t="s">
        <v>786</v>
      </c>
      <c r="M13" t="str">
        <f t="shared" si="1"/>
        <v>AR</v>
      </c>
      <c r="N13" t="s">
        <v>188</v>
      </c>
      <c r="O13" s="1">
        <f t="shared" si="2"/>
        <v>3</v>
      </c>
    </row>
    <row r="14" spans="1:20" x14ac:dyDescent="0.3">
      <c r="A14" t="s">
        <v>801</v>
      </c>
      <c r="B14" s="1">
        <f>COUNTIF('M&amp;A Deal Sheet'!$E:$E,A14)</f>
        <v>0</v>
      </c>
      <c r="C14" t="s">
        <v>783</v>
      </c>
      <c r="I14" s="191" t="s">
        <v>802</v>
      </c>
      <c r="J14" s="191" t="s">
        <v>225</v>
      </c>
      <c r="L14" t="s">
        <v>786</v>
      </c>
      <c r="M14" t="str">
        <f t="shared" si="1"/>
        <v>AR</v>
      </c>
      <c r="N14" t="s">
        <v>801</v>
      </c>
      <c r="O14" s="1">
        <f t="shared" si="2"/>
        <v>0</v>
      </c>
    </row>
    <row r="15" spans="1:20" x14ac:dyDescent="0.3">
      <c r="A15" t="s">
        <v>803</v>
      </c>
      <c r="B15" s="1">
        <f>COUNTIF('M&amp;A Deal Sheet'!$E:$E,A15)</f>
        <v>0</v>
      </c>
      <c r="C15" t="s">
        <v>783</v>
      </c>
      <c r="I15" s="191" t="s">
        <v>804</v>
      </c>
      <c r="J15" s="191" t="s">
        <v>803</v>
      </c>
      <c r="L15" t="s">
        <v>786</v>
      </c>
      <c r="M15" t="str">
        <f t="shared" si="1"/>
        <v>AR</v>
      </c>
      <c r="N15" t="s">
        <v>803</v>
      </c>
      <c r="O15" s="1">
        <f t="shared" si="2"/>
        <v>0</v>
      </c>
    </row>
    <row r="16" spans="1:20" x14ac:dyDescent="0.3">
      <c r="A16" t="s">
        <v>805</v>
      </c>
      <c r="B16" s="1">
        <f>COUNTIF('M&amp;A Deal Sheet'!$E:$E,A16)</f>
        <v>0</v>
      </c>
      <c r="C16" t="s">
        <v>783</v>
      </c>
      <c r="I16" s="191" t="s">
        <v>806</v>
      </c>
      <c r="J16" s="191" t="s">
        <v>805</v>
      </c>
      <c r="L16" t="s">
        <v>786</v>
      </c>
      <c r="M16" t="str">
        <f t="shared" si="1"/>
        <v>AR</v>
      </c>
      <c r="N16" t="s">
        <v>805</v>
      </c>
      <c r="O16" s="1">
        <f t="shared" si="2"/>
        <v>1</v>
      </c>
    </row>
    <row r="17" spans="1:15" x14ac:dyDescent="0.3">
      <c r="A17" t="s">
        <v>807</v>
      </c>
      <c r="B17" s="1">
        <f>COUNTIF('M&amp;A Deal Sheet'!$E:$E,A17)</f>
        <v>0</v>
      </c>
      <c r="C17" t="s">
        <v>783</v>
      </c>
      <c r="I17" s="191" t="s">
        <v>808</v>
      </c>
      <c r="J17" s="191" t="s">
        <v>546</v>
      </c>
      <c r="L17" t="s">
        <v>786</v>
      </c>
      <c r="M17" t="str">
        <f t="shared" si="1"/>
        <v>AR</v>
      </c>
      <c r="N17" t="s">
        <v>807</v>
      </c>
      <c r="O17" s="1">
        <f t="shared" si="2"/>
        <v>0</v>
      </c>
    </row>
    <row r="18" spans="1:15" x14ac:dyDescent="0.3">
      <c r="A18" t="s">
        <v>208</v>
      </c>
      <c r="B18" s="1">
        <f>COUNTIF('M&amp;A Deal Sheet'!$E:$E,A18)</f>
        <v>4</v>
      </c>
      <c r="C18" t="s">
        <v>783</v>
      </c>
      <c r="I18" s="191" t="s">
        <v>809</v>
      </c>
      <c r="J18" s="191" t="s">
        <v>266</v>
      </c>
      <c r="L18" t="s">
        <v>786</v>
      </c>
      <c r="M18" t="str">
        <f t="shared" si="1"/>
        <v>AR</v>
      </c>
      <c r="N18" t="s">
        <v>208</v>
      </c>
      <c r="O18" s="1">
        <f t="shared" si="2"/>
        <v>1</v>
      </c>
    </row>
    <row r="19" spans="1:15" x14ac:dyDescent="0.3">
      <c r="A19" t="s">
        <v>420</v>
      </c>
      <c r="B19" s="1">
        <f>COUNTIF('M&amp;A Deal Sheet'!$E:$E,A19)</f>
        <v>1</v>
      </c>
      <c r="C19" t="s">
        <v>783</v>
      </c>
      <c r="I19" s="191" t="s">
        <v>810</v>
      </c>
      <c r="J19" s="191" t="s">
        <v>335</v>
      </c>
      <c r="L19" t="s">
        <v>786</v>
      </c>
      <c r="M19" t="str">
        <f t="shared" si="1"/>
        <v>AR</v>
      </c>
      <c r="N19" t="s">
        <v>420</v>
      </c>
      <c r="O19" s="1">
        <f t="shared" si="2"/>
        <v>0</v>
      </c>
    </row>
    <row r="20" spans="1:15" x14ac:dyDescent="0.3">
      <c r="A20" t="s">
        <v>811</v>
      </c>
      <c r="B20" s="1">
        <f>COUNTIF('M&amp;A Deal Sheet'!$E:$E,A20)</f>
        <v>0</v>
      </c>
      <c r="C20" t="s">
        <v>783</v>
      </c>
      <c r="I20" s="191" t="s">
        <v>61</v>
      </c>
      <c r="J20" s="191" t="s">
        <v>130</v>
      </c>
      <c r="L20" t="s">
        <v>786</v>
      </c>
      <c r="M20" t="str">
        <f t="shared" si="1"/>
        <v>AR</v>
      </c>
      <c r="N20" t="s">
        <v>811</v>
      </c>
      <c r="O20" s="1">
        <f t="shared" si="2"/>
        <v>0</v>
      </c>
    </row>
    <row r="21" spans="1:15" x14ac:dyDescent="0.3">
      <c r="A21" t="s">
        <v>812</v>
      </c>
      <c r="B21" s="1">
        <f>COUNTIF('M&amp;A Deal Sheet'!$E:$E,A21)</f>
        <v>0</v>
      </c>
      <c r="C21" t="s">
        <v>783</v>
      </c>
      <c r="I21" s="191" t="s">
        <v>813</v>
      </c>
      <c r="J21" s="191" t="s">
        <v>94</v>
      </c>
      <c r="L21" t="s">
        <v>789</v>
      </c>
      <c r="M21" t="str">
        <f t="shared" si="1"/>
        <v>CA</v>
      </c>
      <c r="N21" t="s">
        <v>812</v>
      </c>
      <c r="O21" s="1">
        <f t="shared" si="2"/>
        <v>0</v>
      </c>
    </row>
    <row r="22" spans="1:15" x14ac:dyDescent="0.3">
      <c r="A22" t="s">
        <v>157</v>
      </c>
      <c r="B22" s="1">
        <f>COUNTIF('M&amp;A Deal Sheet'!$E:$E,A22)</f>
        <v>1</v>
      </c>
      <c r="C22" t="s">
        <v>788</v>
      </c>
      <c r="I22" s="191" t="s">
        <v>814</v>
      </c>
      <c r="J22" s="191" t="s">
        <v>122</v>
      </c>
      <c r="L22" t="s">
        <v>789</v>
      </c>
      <c r="M22" t="str">
        <f t="shared" si="1"/>
        <v>CA</v>
      </c>
      <c r="N22" t="s">
        <v>157</v>
      </c>
      <c r="O22" s="1">
        <f t="shared" si="2"/>
        <v>0</v>
      </c>
    </row>
    <row r="23" spans="1:15" x14ac:dyDescent="0.3">
      <c r="A23" t="s">
        <v>815</v>
      </c>
      <c r="B23" s="1">
        <f>COUNTIF('M&amp;A Deal Sheet'!$E:$E,A23)</f>
        <v>0</v>
      </c>
      <c r="C23" t="s">
        <v>788</v>
      </c>
      <c r="I23" s="191" t="s">
        <v>816</v>
      </c>
      <c r="J23" s="191" t="s">
        <v>807</v>
      </c>
      <c r="L23" t="s">
        <v>789</v>
      </c>
      <c r="M23" t="str">
        <f t="shared" si="1"/>
        <v>CA</v>
      </c>
      <c r="N23" t="s">
        <v>815</v>
      </c>
      <c r="O23" s="1">
        <f t="shared" si="2"/>
        <v>1</v>
      </c>
    </row>
    <row r="24" spans="1:15" x14ac:dyDescent="0.3">
      <c r="A24" t="s">
        <v>31</v>
      </c>
      <c r="B24" s="1">
        <f>COUNTIF('M&amp;A Deal Sheet'!$E:$E,A24)</f>
        <v>59</v>
      </c>
      <c r="C24" t="s">
        <v>785</v>
      </c>
      <c r="I24" s="191" t="s">
        <v>817</v>
      </c>
      <c r="J24" s="191" t="s">
        <v>818</v>
      </c>
      <c r="L24" t="s">
        <v>789</v>
      </c>
      <c r="M24" t="str">
        <f t="shared" si="1"/>
        <v>CA</v>
      </c>
      <c r="N24" t="s">
        <v>31</v>
      </c>
      <c r="O24" s="1">
        <f t="shared" si="2"/>
        <v>98</v>
      </c>
    </row>
    <row r="25" spans="1:15" x14ac:dyDescent="0.3">
      <c r="A25" t="s">
        <v>410</v>
      </c>
      <c r="B25" s="1">
        <f>COUNTIF('M&amp;A Deal Sheet'!$E:$E,A25)</f>
        <v>1</v>
      </c>
      <c r="C25" t="s">
        <v>785</v>
      </c>
      <c r="I25" s="191" t="s">
        <v>819</v>
      </c>
      <c r="J25" s="191" t="s">
        <v>208</v>
      </c>
      <c r="L25" t="s">
        <v>789</v>
      </c>
      <c r="M25" t="str">
        <f t="shared" si="1"/>
        <v>CA</v>
      </c>
      <c r="N25" t="s">
        <v>410</v>
      </c>
      <c r="O25" s="1">
        <f t="shared" si="2"/>
        <v>9</v>
      </c>
    </row>
    <row r="26" spans="1:15" x14ac:dyDescent="0.3">
      <c r="A26" t="s">
        <v>130</v>
      </c>
      <c r="B26" s="1">
        <f>COUNTIF('M&amp;A Deal Sheet'!$E:$E,A26)</f>
        <v>15</v>
      </c>
      <c r="C26" t="s">
        <v>788</v>
      </c>
      <c r="I26" s="191" t="s">
        <v>820</v>
      </c>
      <c r="J26" s="191" t="s">
        <v>821</v>
      </c>
      <c r="L26" t="s">
        <v>789</v>
      </c>
      <c r="M26" t="str">
        <f t="shared" si="1"/>
        <v>CA</v>
      </c>
      <c r="N26" t="s">
        <v>130</v>
      </c>
      <c r="O26" s="1">
        <f t="shared" si="2"/>
        <v>29</v>
      </c>
    </row>
    <row r="27" spans="1:15" x14ac:dyDescent="0.3">
      <c r="A27" t="s">
        <v>252</v>
      </c>
      <c r="B27" s="1">
        <f>COUNTIF('M&amp;A Deal Sheet'!$E:$E,A27)</f>
        <v>8</v>
      </c>
      <c r="C27" t="s">
        <v>785</v>
      </c>
      <c r="I27" s="191" t="s">
        <v>822</v>
      </c>
      <c r="J27" s="191" t="s">
        <v>420</v>
      </c>
      <c r="L27" t="s">
        <v>789</v>
      </c>
      <c r="M27" t="str">
        <f t="shared" si="1"/>
        <v>CA</v>
      </c>
      <c r="N27" t="s">
        <v>252</v>
      </c>
      <c r="O27" s="1">
        <f t="shared" si="2"/>
        <v>13</v>
      </c>
    </row>
    <row r="28" spans="1:15" x14ac:dyDescent="0.3">
      <c r="A28" t="s">
        <v>215</v>
      </c>
      <c r="B28" s="1">
        <f>COUNTIF('M&amp;A Deal Sheet'!$E:$E,A28)</f>
        <v>3</v>
      </c>
      <c r="C28" t="s">
        <v>785</v>
      </c>
      <c r="I28" s="191" t="s">
        <v>823</v>
      </c>
      <c r="J28" s="191" t="s">
        <v>824</v>
      </c>
      <c r="L28" t="s">
        <v>789</v>
      </c>
      <c r="M28" t="str">
        <f t="shared" si="1"/>
        <v>CA</v>
      </c>
      <c r="N28" t="s">
        <v>215</v>
      </c>
      <c r="O28" s="1">
        <f t="shared" si="2"/>
        <v>16</v>
      </c>
    </row>
    <row r="29" spans="1:15" x14ac:dyDescent="0.3">
      <c r="A29" t="s">
        <v>325</v>
      </c>
      <c r="B29" s="1">
        <f>COUNTIF('M&amp;A Deal Sheet'!$E:$E,A29)</f>
        <v>4</v>
      </c>
      <c r="C29" t="s">
        <v>788</v>
      </c>
      <c r="I29" s="191" t="s">
        <v>825</v>
      </c>
      <c r="J29" s="191" t="s">
        <v>643</v>
      </c>
      <c r="L29" t="s">
        <v>789</v>
      </c>
      <c r="M29" t="str">
        <f t="shared" si="1"/>
        <v>CA</v>
      </c>
      <c r="N29" t="s">
        <v>325</v>
      </c>
      <c r="O29" s="1">
        <f t="shared" si="2"/>
        <v>13</v>
      </c>
    </row>
    <row r="30" spans="1:15" x14ac:dyDescent="0.3">
      <c r="A30" t="s">
        <v>826</v>
      </c>
      <c r="B30" s="1">
        <f>COUNTIF('M&amp;A Deal Sheet'!$E:$E,A30)</f>
        <v>0</v>
      </c>
      <c r="C30" t="s">
        <v>788</v>
      </c>
      <c r="I30" s="191" t="s">
        <v>827</v>
      </c>
      <c r="J30" s="191" t="s">
        <v>115</v>
      </c>
      <c r="L30" t="s">
        <v>789</v>
      </c>
      <c r="M30" t="str">
        <f t="shared" si="1"/>
        <v>CA</v>
      </c>
      <c r="N30" t="s">
        <v>826</v>
      </c>
      <c r="O30" s="1">
        <f t="shared" si="2"/>
        <v>0</v>
      </c>
    </row>
    <row r="31" spans="1:15" x14ac:dyDescent="0.3">
      <c r="A31" t="s">
        <v>559</v>
      </c>
      <c r="B31" s="1">
        <f>COUNTIF('M&amp;A Deal Sheet'!$E:$E,A31)</f>
        <v>3</v>
      </c>
      <c r="C31" t="s">
        <v>785</v>
      </c>
      <c r="I31" s="191" t="s">
        <v>828</v>
      </c>
      <c r="J31" s="191" t="s">
        <v>829</v>
      </c>
      <c r="L31" t="s">
        <v>789</v>
      </c>
      <c r="M31" t="str">
        <f t="shared" si="1"/>
        <v>CA</v>
      </c>
      <c r="N31" t="s">
        <v>559</v>
      </c>
      <c r="O31" s="1">
        <f t="shared" si="2"/>
        <v>10</v>
      </c>
    </row>
    <row r="32" spans="1:15" x14ac:dyDescent="0.3">
      <c r="A32" t="s">
        <v>546</v>
      </c>
      <c r="B32" s="1">
        <f>COUNTIF('M&amp;A Deal Sheet'!$E:$E,A32)</f>
        <v>3</v>
      </c>
      <c r="C32" t="s">
        <v>785</v>
      </c>
      <c r="I32" s="191" t="s">
        <v>830</v>
      </c>
      <c r="J32" s="191" t="s">
        <v>75</v>
      </c>
      <c r="L32" t="s">
        <v>789</v>
      </c>
      <c r="M32" t="str">
        <f t="shared" si="1"/>
        <v>CA</v>
      </c>
      <c r="N32" t="s">
        <v>546</v>
      </c>
      <c r="O32" s="1">
        <f t="shared" si="2"/>
        <v>8</v>
      </c>
    </row>
    <row r="33" spans="1:15" x14ac:dyDescent="0.3">
      <c r="A33" t="s">
        <v>818</v>
      </c>
      <c r="B33" s="1">
        <f>COUNTIF('M&amp;A Deal Sheet'!$E:$E,A33)</f>
        <v>0</v>
      </c>
      <c r="C33" t="s">
        <v>785</v>
      </c>
      <c r="I33" s="191" t="s">
        <v>831</v>
      </c>
      <c r="J33" s="191" t="s">
        <v>252</v>
      </c>
      <c r="L33" t="s">
        <v>789</v>
      </c>
      <c r="M33" t="str">
        <f t="shared" si="1"/>
        <v>CA</v>
      </c>
      <c r="N33" t="s">
        <v>818</v>
      </c>
      <c r="O33" s="1">
        <f t="shared" si="2"/>
        <v>0</v>
      </c>
    </row>
    <row r="34" spans="1:15" x14ac:dyDescent="0.3">
      <c r="A34" t="s">
        <v>299</v>
      </c>
      <c r="B34" s="1">
        <f>COUNTIF('M&amp;A Deal Sheet'!$E:$E,A34)</f>
        <v>12</v>
      </c>
      <c r="C34" t="s">
        <v>785</v>
      </c>
      <c r="I34" s="191" t="s">
        <v>832</v>
      </c>
      <c r="J34" s="191" t="s">
        <v>811</v>
      </c>
      <c r="L34" t="s">
        <v>794</v>
      </c>
      <c r="M34" t="str">
        <f t="shared" si="1"/>
        <v>CT</v>
      </c>
      <c r="N34" t="s">
        <v>299</v>
      </c>
      <c r="O34" s="1">
        <f t="shared" si="2"/>
        <v>12</v>
      </c>
    </row>
    <row r="35" spans="1:15" x14ac:dyDescent="0.3">
      <c r="A35" t="s">
        <v>426</v>
      </c>
      <c r="B35" s="1">
        <f>COUNTIF('M&amp;A Deal Sheet'!$E:$E,A35)</f>
        <v>3</v>
      </c>
      <c r="C35" t="s">
        <v>785</v>
      </c>
      <c r="I35" s="191" t="s">
        <v>833</v>
      </c>
      <c r="J35" s="191" t="s">
        <v>188</v>
      </c>
      <c r="L35" t="s">
        <v>794</v>
      </c>
      <c r="M35" t="str">
        <f t="shared" si="1"/>
        <v>CT</v>
      </c>
      <c r="N35" t="s">
        <v>426</v>
      </c>
      <c r="O35" s="1">
        <f t="shared" si="2"/>
        <v>8</v>
      </c>
    </row>
    <row r="36" spans="1:15" x14ac:dyDescent="0.3">
      <c r="A36" t="s">
        <v>266</v>
      </c>
      <c r="B36" s="1">
        <f>COUNTIF('M&amp;A Deal Sheet'!$E:$E,A36)</f>
        <v>2</v>
      </c>
      <c r="C36" t="s">
        <v>785</v>
      </c>
      <c r="I36" s="191" t="s">
        <v>834</v>
      </c>
      <c r="J36" s="191" t="s">
        <v>68</v>
      </c>
      <c r="L36" t="s">
        <v>794</v>
      </c>
      <c r="M36" t="str">
        <f t="shared" si="1"/>
        <v>CT</v>
      </c>
      <c r="N36" t="s">
        <v>266</v>
      </c>
      <c r="O36" s="1">
        <f t="shared" si="2"/>
        <v>1</v>
      </c>
    </row>
    <row r="37" spans="1:15" x14ac:dyDescent="0.3">
      <c r="A37" t="s">
        <v>68</v>
      </c>
      <c r="B37" s="1">
        <f>COUNTIF('M&amp;A Deal Sheet'!$E:$E,A37)</f>
        <v>2</v>
      </c>
      <c r="C37" t="s">
        <v>785</v>
      </c>
      <c r="I37" s="191" t="s">
        <v>835</v>
      </c>
      <c r="J37" s="191" t="s">
        <v>273</v>
      </c>
      <c r="L37" t="s">
        <v>794</v>
      </c>
      <c r="M37" t="str">
        <f t="shared" si="1"/>
        <v>CT</v>
      </c>
      <c r="N37" t="s">
        <v>68</v>
      </c>
      <c r="O37" s="1">
        <f t="shared" si="2"/>
        <v>0</v>
      </c>
    </row>
    <row r="38" spans="1:15" x14ac:dyDescent="0.3">
      <c r="A38" t="s">
        <v>262</v>
      </c>
      <c r="B38" s="1">
        <f>COUNTIF('M&amp;A Deal Sheet'!$E:$E,A38)</f>
        <v>3</v>
      </c>
      <c r="C38" t="s">
        <v>785</v>
      </c>
      <c r="I38" s="191" t="s">
        <v>836</v>
      </c>
      <c r="J38" s="191" t="s">
        <v>295</v>
      </c>
      <c r="L38" t="s">
        <v>794</v>
      </c>
      <c r="M38" t="str">
        <f t="shared" si="1"/>
        <v>CT</v>
      </c>
      <c r="N38" t="s">
        <v>262</v>
      </c>
      <c r="O38" s="1">
        <f t="shared" si="2"/>
        <v>32</v>
      </c>
    </row>
    <row r="39" spans="1:15" x14ac:dyDescent="0.3">
      <c r="A39" t="s">
        <v>282</v>
      </c>
      <c r="B39" s="1">
        <f>COUNTIF('M&amp;A Deal Sheet'!$E:$E,A39)</f>
        <v>2</v>
      </c>
      <c r="C39" t="s">
        <v>791</v>
      </c>
      <c r="I39" s="191" t="s">
        <v>837</v>
      </c>
      <c r="J39" s="191" t="s">
        <v>787</v>
      </c>
      <c r="L39" t="s">
        <v>794</v>
      </c>
      <c r="M39" t="str">
        <f t="shared" si="1"/>
        <v>CT</v>
      </c>
      <c r="N39" t="s">
        <v>282</v>
      </c>
      <c r="O39" s="1">
        <f t="shared" si="2"/>
        <v>2</v>
      </c>
    </row>
    <row r="40" spans="1:15" x14ac:dyDescent="0.3">
      <c r="A40" t="s">
        <v>793</v>
      </c>
      <c r="B40" s="1">
        <f>COUNTIF('M&amp;A Deal Sheet'!$E:$E,A40)</f>
        <v>0</v>
      </c>
      <c r="C40" t="s">
        <v>791</v>
      </c>
      <c r="I40" s="191" t="s">
        <v>838</v>
      </c>
      <c r="J40" s="191" t="s">
        <v>215</v>
      </c>
      <c r="L40" t="s">
        <v>794</v>
      </c>
      <c r="M40" t="str">
        <f t="shared" si="1"/>
        <v>CT</v>
      </c>
      <c r="N40" t="s">
        <v>793</v>
      </c>
      <c r="O40" s="1">
        <f t="shared" si="2"/>
        <v>0</v>
      </c>
    </row>
    <row r="41" spans="1:15" x14ac:dyDescent="0.3">
      <c r="A41" t="s">
        <v>577</v>
      </c>
      <c r="B41" s="1">
        <f>COUNTIF('M&amp;A Deal Sheet'!$E:$E,A41)</f>
        <v>1</v>
      </c>
      <c r="C41" t="s">
        <v>791</v>
      </c>
      <c r="I41" s="191" t="s">
        <v>839</v>
      </c>
      <c r="J41" s="191" t="s">
        <v>812</v>
      </c>
      <c r="L41" t="s">
        <v>794</v>
      </c>
      <c r="M41" t="str">
        <f t="shared" si="1"/>
        <v>CT</v>
      </c>
      <c r="N41" t="s">
        <v>577</v>
      </c>
      <c r="O41" s="1">
        <f t="shared" si="2"/>
        <v>3</v>
      </c>
    </row>
    <row r="42" spans="1:15" x14ac:dyDescent="0.3">
      <c r="A42" t="s">
        <v>821</v>
      </c>
      <c r="B42" s="1">
        <f>COUNTIF('M&amp;A Deal Sheet'!$E:$E,A42)</f>
        <v>0</v>
      </c>
      <c r="C42" t="s">
        <v>791</v>
      </c>
      <c r="I42" s="191" t="s">
        <v>840</v>
      </c>
      <c r="J42" s="191" t="s">
        <v>299</v>
      </c>
      <c r="L42" t="s">
        <v>794</v>
      </c>
      <c r="M42" t="str">
        <f t="shared" si="1"/>
        <v>CT</v>
      </c>
      <c r="N42" t="s">
        <v>821</v>
      </c>
      <c r="O42" s="1">
        <f t="shared" si="2"/>
        <v>0</v>
      </c>
    </row>
    <row r="43" spans="1:15" x14ac:dyDescent="0.3">
      <c r="A43" t="s">
        <v>824</v>
      </c>
      <c r="B43" s="1">
        <f>COUNTIF('M&amp;A Deal Sheet'!$E:$E,A43)</f>
        <v>0</v>
      </c>
      <c r="C43" t="s">
        <v>791</v>
      </c>
      <c r="I43" s="191" t="s">
        <v>263</v>
      </c>
      <c r="J43" s="191" t="s">
        <v>262</v>
      </c>
      <c r="L43" t="s">
        <v>794</v>
      </c>
      <c r="M43" t="str">
        <f t="shared" si="1"/>
        <v>CT</v>
      </c>
      <c r="N43" t="s">
        <v>824</v>
      </c>
      <c r="O43" s="1">
        <f t="shared" si="2"/>
        <v>0</v>
      </c>
    </row>
    <row r="44" spans="1:15" x14ac:dyDescent="0.3">
      <c r="A44" t="s">
        <v>829</v>
      </c>
      <c r="B44" s="1">
        <f>COUNTIF('M&amp;A Deal Sheet'!$E:$E,A44)</f>
        <v>0</v>
      </c>
      <c r="C44" t="s">
        <v>791</v>
      </c>
      <c r="I44" s="191" t="s">
        <v>841</v>
      </c>
      <c r="J44" s="191" t="s">
        <v>842</v>
      </c>
      <c r="L44" t="s">
        <v>794</v>
      </c>
      <c r="M44" t="str">
        <f t="shared" si="1"/>
        <v>CT</v>
      </c>
      <c r="N44" t="s">
        <v>829</v>
      </c>
      <c r="O44" s="1">
        <f t="shared" si="2"/>
        <v>0</v>
      </c>
    </row>
    <row r="45" spans="1:15" x14ac:dyDescent="0.3">
      <c r="A45" t="s">
        <v>842</v>
      </c>
      <c r="B45" s="1">
        <f>COUNTIF('M&amp;A Deal Sheet'!$E:$E,A45)</f>
        <v>0</v>
      </c>
      <c r="C45" t="s">
        <v>791</v>
      </c>
      <c r="I45" s="191" t="s">
        <v>843</v>
      </c>
      <c r="J45" s="191" t="s">
        <v>790</v>
      </c>
      <c r="L45" t="s">
        <v>794</v>
      </c>
      <c r="M45" t="str">
        <f t="shared" si="1"/>
        <v>CT</v>
      </c>
      <c r="N45" t="s">
        <v>842</v>
      </c>
      <c r="O45" s="1">
        <f t="shared" si="2"/>
        <v>0</v>
      </c>
    </row>
    <row r="46" spans="1:15" x14ac:dyDescent="0.3">
      <c r="A46" t="s">
        <v>844</v>
      </c>
      <c r="B46" s="1">
        <f>COUNTIF('M&amp;A Deal Sheet'!$E:$E,A46)</f>
        <v>0</v>
      </c>
      <c r="C46" t="s">
        <v>791</v>
      </c>
      <c r="I46" s="191" t="s">
        <v>845</v>
      </c>
      <c r="J46" s="191" t="s">
        <v>325</v>
      </c>
      <c r="L46" t="s">
        <v>794</v>
      </c>
      <c r="M46" t="str">
        <f t="shared" si="1"/>
        <v>CT</v>
      </c>
      <c r="N46" t="s">
        <v>844</v>
      </c>
      <c r="O46" s="1">
        <f t="shared" si="2"/>
        <v>0</v>
      </c>
    </row>
    <row r="47" spans="1:15" x14ac:dyDescent="0.3">
      <c r="A47" t="s">
        <v>782</v>
      </c>
      <c r="B47" s="1">
        <f>COUNTIF('M&amp;A Deal Sheet'!$E:$E,A47)</f>
        <v>0</v>
      </c>
      <c r="C47" t="s">
        <v>791</v>
      </c>
      <c r="I47" s="191" t="s">
        <v>846</v>
      </c>
      <c r="J47" s="191" t="s">
        <v>53</v>
      </c>
      <c r="L47" t="s">
        <v>794</v>
      </c>
      <c r="M47" t="str">
        <f t="shared" si="1"/>
        <v>CT</v>
      </c>
      <c r="N47" t="s">
        <v>782</v>
      </c>
      <c r="O47" s="1">
        <f t="shared" si="2"/>
        <v>0</v>
      </c>
    </row>
    <row r="48" spans="1:15" x14ac:dyDescent="0.3">
      <c r="A48" t="s">
        <v>57</v>
      </c>
      <c r="B48" s="1">
        <f>COUNTIF('M&amp;A Deal Sheet'!$E:$E,A48)</f>
        <v>16</v>
      </c>
      <c r="C48" t="s">
        <v>791</v>
      </c>
      <c r="I48" s="191" t="s">
        <v>847</v>
      </c>
      <c r="J48" s="191" t="s">
        <v>826</v>
      </c>
      <c r="L48" t="s">
        <v>794</v>
      </c>
      <c r="M48" t="str">
        <f t="shared" si="1"/>
        <v>CT</v>
      </c>
      <c r="N48" t="s">
        <v>57</v>
      </c>
      <c r="O48" s="1">
        <f t="shared" si="2"/>
        <v>13</v>
      </c>
    </row>
    <row r="49" spans="1:15" x14ac:dyDescent="0.3">
      <c r="A49" t="s">
        <v>848</v>
      </c>
      <c r="B49" s="1">
        <f>COUNTIF('M&amp;A Deal Sheet'!$E:$E,A49)</f>
        <v>0</v>
      </c>
      <c r="C49" t="s">
        <v>791</v>
      </c>
      <c r="I49" s="191" t="s">
        <v>849</v>
      </c>
      <c r="J49" s="191" t="s">
        <v>801</v>
      </c>
      <c r="L49" t="s">
        <v>794</v>
      </c>
      <c r="M49" t="str">
        <f t="shared" si="1"/>
        <v>CT</v>
      </c>
      <c r="N49" t="s">
        <v>848</v>
      </c>
      <c r="O49" s="1">
        <f t="shared" si="2"/>
        <v>0</v>
      </c>
    </row>
    <row r="50" spans="1:15" x14ac:dyDescent="0.3">
      <c r="A50" t="s">
        <v>273</v>
      </c>
      <c r="B50" s="1">
        <f>COUNTIF('M&amp;A Deal Sheet'!$E:$E,A50)</f>
        <v>2</v>
      </c>
      <c r="C50" t="s">
        <v>791</v>
      </c>
      <c r="I50" s="191" t="s">
        <v>850</v>
      </c>
      <c r="J50" s="191" t="s">
        <v>844</v>
      </c>
      <c r="L50" t="s">
        <v>794</v>
      </c>
      <c r="M50" t="str">
        <f t="shared" si="1"/>
        <v>CT</v>
      </c>
      <c r="N50" t="s">
        <v>273</v>
      </c>
      <c r="O50" s="1">
        <f t="shared" si="2"/>
        <v>3</v>
      </c>
    </row>
    <row r="51" spans="1:15" x14ac:dyDescent="0.3">
      <c r="A51" t="s">
        <v>53</v>
      </c>
      <c r="B51" s="1">
        <f>COUNTIF('M&amp;A Deal Sheet'!$E:$E,A51)</f>
        <v>8</v>
      </c>
      <c r="C51" t="s">
        <v>791</v>
      </c>
      <c r="L51" t="s">
        <v>815</v>
      </c>
      <c r="M51" t="s">
        <v>815</v>
      </c>
      <c r="N51" t="s">
        <v>53</v>
      </c>
      <c r="O51" s="1">
        <f t="shared" si="2"/>
        <v>16</v>
      </c>
    </row>
    <row r="52" spans="1:15" ht="15" thickBot="1" x14ac:dyDescent="0.35">
      <c r="B52" s="189">
        <f>SUM(B1:B51)</f>
        <v>200</v>
      </c>
      <c r="L52" t="s">
        <v>542</v>
      </c>
      <c r="M52" t="str">
        <f t="shared" si="1"/>
        <v>FL</v>
      </c>
    </row>
    <row r="53" spans="1:15" ht="15" thickTop="1" x14ac:dyDescent="0.3">
      <c r="L53" t="s">
        <v>542</v>
      </c>
      <c r="M53" t="str">
        <f t="shared" si="1"/>
        <v>FL</v>
      </c>
    </row>
    <row r="54" spans="1:15" x14ac:dyDescent="0.3">
      <c r="L54" t="s">
        <v>542</v>
      </c>
      <c r="M54" t="str">
        <f t="shared" si="1"/>
        <v>FL</v>
      </c>
    </row>
    <row r="55" spans="1:15" x14ac:dyDescent="0.3">
      <c r="L55" t="s">
        <v>542</v>
      </c>
      <c r="M55" t="str">
        <f t="shared" si="1"/>
        <v>FL</v>
      </c>
    </row>
    <row r="56" spans="1:15" x14ac:dyDescent="0.3">
      <c r="L56" t="s">
        <v>542</v>
      </c>
      <c r="M56" t="str">
        <f t="shared" si="1"/>
        <v>FL</v>
      </c>
    </row>
    <row r="57" spans="1:15" x14ac:dyDescent="0.3">
      <c r="L57" t="s">
        <v>542</v>
      </c>
      <c r="M57" t="str">
        <f t="shared" si="1"/>
        <v>FL</v>
      </c>
    </row>
    <row r="58" spans="1:15" x14ac:dyDescent="0.3">
      <c r="L58" t="s">
        <v>542</v>
      </c>
      <c r="M58" t="str">
        <f t="shared" si="1"/>
        <v>FL</v>
      </c>
    </row>
    <row r="59" spans="1:15" x14ac:dyDescent="0.3">
      <c r="L59" t="s">
        <v>542</v>
      </c>
      <c r="M59" t="str">
        <f t="shared" si="1"/>
        <v>FL</v>
      </c>
    </row>
    <row r="60" spans="1:15" x14ac:dyDescent="0.3">
      <c r="L60" t="s">
        <v>542</v>
      </c>
      <c r="M60" t="str">
        <f t="shared" si="1"/>
        <v>FL</v>
      </c>
    </row>
    <row r="61" spans="1:15" x14ac:dyDescent="0.3">
      <c r="L61" t="s">
        <v>542</v>
      </c>
      <c r="M61" t="str">
        <f t="shared" si="1"/>
        <v>FL</v>
      </c>
    </row>
    <row r="62" spans="1:15" x14ac:dyDescent="0.3">
      <c r="L62" t="s">
        <v>542</v>
      </c>
      <c r="M62" t="str">
        <f t="shared" si="1"/>
        <v>FL</v>
      </c>
    </row>
    <row r="63" spans="1:15" x14ac:dyDescent="0.3">
      <c r="L63" t="s">
        <v>542</v>
      </c>
      <c r="M63" t="str">
        <f t="shared" si="1"/>
        <v>FL</v>
      </c>
    </row>
    <row r="64" spans="1:15" x14ac:dyDescent="0.3">
      <c r="L64" t="s">
        <v>542</v>
      </c>
      <c r="M64" t="str">
        <f t="shared" si="1"/>
        <v>FL</v>
      </c>
    </row>
    <row r="65" spans="12:13" x14ac:dyDescent="0.3">
      <c r="L65" t="s">
        <v>542</v>
      </c>
      <c r="M65" t="str">
        <f t="shared" si="1"/>
        <v>FL</v>
      </c>
    </row>
    <row r="66" spans="12:13" x14ac:dyDescent="0.3">
      <c r="L66" t="s">
        <v>542</v>
      </c>
      <c r="M66" t="str">
        <f t="shared" ref="M66:M129" si="6">VLOOKUP(L66, $I$1:$J$50, 2, FALSE)</f>
        <v>FL</v>
      </c>
    </row>
    <row r="67" spans="12:13" x14ac:dyDescent="0.3">
      <c r="L67" t="s">
        <v>542</v>
      </c>
      <c r="M67" t="str">
        <f t="shared" si="6"/>
        <v>FL</v>
      </c>
    </row>
    <row r="68" spans="12:13" x14ac:dyDescent="0.3">
      <c r="L68" t="s">
        <v>542</v>
      </c>
      <c r="M68" t="str">
        <f t="shared" si="6"/>
        <v>FL</v>
      </c>
    </row>
    <row r="69" spans="12:13" x14ac:dyDescent="0.3">
      <c r="L69" t="s">
        <v>542</v>
      </c>
      <c r="M69" t="str">
        <f t="shared" si="6"/>
        <v>FL</v>
      </c>
    </row>
    <row r="70" spans="12:13" x14ac:dyDescent="0.3">
      <c r="L70" t="s">
        <v>542</v>
      </c>
      <c r="M70" t="str">
        <f t="shared" si="6"/>
        <v>FL</v>
      </c>
    </row>
    <row r="71" spans="12:13" x14ac:dyDescent="0.3">
      <c r="L71" t="s">
        <v>542</v>
      </c>
      <c r="M71" t="str">
        <f t="shared" si="6"/>
        <v>FL</v>
      </c>
    </row>
    <row r="72" spans="12:13" x14ac:dyDescent="0.3">
      <c r="L72" t="s">
        <v>542</v>
      </c>
      <c r="M72" t="str">
        <f t="shared" si="6"/>
        <v>FL</v>
      </c>
    </row>
    <row r="73" spans="12:13" x14ac:dyDescent="0.3">
      <c r="L73" t="s">
        <v>542</v>
      </c>
      <c r="M73" t="str">
        <f t="shared" si="6"/>
        <v>FL</v>
      </c>
    </row>
    <row r="74" spans="12:13" x14ac:dyDescent="0.3">
      <c r="L74" t="s">
        <v>542</v>
      </c>
      <c r="M74" t="str">
        <f t="shared" si="6"/>
        <v>FL</v>
      </c>
    </row>
    <row r="75" spans="12:13" x14ac:dyDescent="0.3">
      <c r="L75" t="s">
        <v>542</v>
      </c>
      <c r="M75" t="str">
        <f t="shared" si="6"/>
        <v>FL</v>
      </c>
    </row>
    <row r="76" spans="12:13" x14ac:dyDescent="0.3">
      <c r="L76" t="s">
        <v>542</v>
      </c>
      <c r="M76" t="str">
        <f t="shared" si="6"/>
        <v>FL</v>
      </c>
    </row>
    <row r="77" spans="12:13" x14ac:dyDescent="0.3">
      <c r="L77" t="s">
        <v>542</v>
      </c>
      <c r="M77" t="str">
        <f t="shared" si="6"/>
        <v>FL</v>
      </c>
    </row>
    <row r="78" spans="12:13" x14ac:dyDescent="0.3">
      <c r="L78" t="s">
        <v>542</v>
      </c>
      <c r="M78" t="str">
        <f t="shared" si="6"/>
        <v>FL</v>
      </c>
    </row>
    <row r="79" spans="12:13" x14ac:dyDescent="0.3">
      <c r="L79" t="s">
        <v>542</v>
      </c>
      <c r="M79" t="str">
        <f t="shared" si="6"/>
        <v>FL</v>
      </c>
    </row>
    <row r="80" spans="12:13" x14ac:dyDescent="0.3">
      <c r="L80" t="s">
        <v>542</v>
      </c>
      <c r="M80" t="str">
        <f t="shared" si="6"/>
        <v>FL</v>
      </c>
    </row>
    <row r="81" spans="12:13" x14ac:dyDescent="0.3">
      <c r="L81" t="s">
        <v>542</v>
      </c>
      <c r="M81" t="str">
        <f t="shared" si="6"/>
        <v>FL</v>
      </c>
    </row>
    <row r="82" spans="12:13" x14ac:dyDescent="0.3">
      <c r="L82" t="s">
        <v>542</v>
      </c>
      <c r="M82" t="str">
        <f t="shared" si="6"/>
        <v>FL</v>
      </c>
    </row>
    <row r="83" spans="12:13" x14ac:dyDescent="0.3">
      <c r="L83" t="s">
        <v>542</v>
      </c>
      <c r="M83" t="str">
        <f t="shared" si="6"/>
        <v>FL</v>
      </c>
    </row>
    <row r="84" spans="12:13" x14ac:dyDescent="0.3">
      <c r="L84" t="s">
        <v>542</v>
      </c>
      <c r="M84" t="str">
        <f t="shared" si="6"/>
        <v>FL</v>
      </c>
    </row>
    <row r="85" spans="12:13" x14ac:dyDescent="0.3">
      <c r="L85" t="s">
        <v>542</v>
      </c>
      <c r="M85" t="str">
        <f t="shared" si="6"/>
        <v>FL</v>
      </c>
    </row>
    <row r="86" spans="12:13" x14ac:dyDescent="0.3">
      <c r="L86" t="s">
        <v>542</v>
      </c>
      <c r="M86" t="str">
        <f t="shared" si="6"/>
        <v>FL</v>
      </c>
    </row>
    <row r="87" spans="12:13" x14ac:dyDescent="0.3">
      <c r="L87" t="s">
        <v>542</v>
      </c>
      <c r="M87" t="str">
        <f t="shared" si="6"/>
        <v>FL</v>
      </c>
    </row>
    <row r="88" spans="12:13" x14ac:dyDescent="0.3">
      <c r="L88" t="s">
        <v>542</v>
      </c>
      <c r="M88" t="str">
        <f t="shared" si="6"/>
        <v>FL</v>
      </c>
    </row>
    <row r="89" spans="12:13" x14ac:dyDescent="0.3">
      <c r="L89" t="s">
        <v>542</v>
      </c>
      <c r="M89" t="str">
        <f t="shared" si="6"/>
        <v>FL</v>
      </c>
    </row>
    <row r="90" spans="12:13" x14ac:dyDescent="0.3">
      <c r="L90" t="s">
        <v>542</v>
      </c>
      <c r="M90" t="str">
        <f t="shared" si="6"/>
        <v>FL</v>
      </c>
    </row>
    <row r="91" spans="12:13" x14ac:dyDescent="0.3">
      <c r="L91" t="s">
        <v>542</v>
      </c>
      <c r="M91" t="str">
        <f t="shared" si="6"/>
        <v>FL</v>
      </c>
    </row>
    <row r="92" spans="12:13" x14ac:dyDescent="0.3">
      <c r="L92" t="s">
        <v>542</v>
      </c>
      <c r="M92" t="str">
        <f t="shared" si="6"/>
        <v>FL</v>
      </c>
    </row>
    <row r="93" spans="12:13" x14ac:dyDescent="0.3">
      <c r="L93" t="s">
        <v>542</v>
      </c>
      <c r="M93" t="str">
        <f t="shared" si="6"/>
        <v>FL</v>
      </c>
    </row>
    <row r="94" spans="12:13" x14ac:dyDescent="0.3">
      <c r="L94" t="s">
        <v>542</v>
      </c>
      <c r="M94" t="str">
        <f t="shared" si="6"/>
        <v>FL</v>
      </c>
    </row>
    <row r="95" spans="12:13" x14ac:dyDescent="0.3">
      <c r="L95" t="s">
        <v>542</v>
      </c>
      <c r="M95" t="str">
        <f t="shared" si="6"/>
        <v>FL</v>
      </c>
    </row>
    <row r="96" spans="12:13" x14ac:dyDescent="0.3">
      <c r="L96" t="s">
        <v>542</v>
      </c>
      <c r="M96" t="str">
        <f t="shared" si="6"/>
        <v>FL</v>
      </c>
    </row>
    <row r="97" spans="12:13" x14ac:dyDescent="0.3">
      <c r="L97" t="s">
        <v>542</v>
      </c>
      <c r="M97" t="str">
        <f t="shared" si="6"/>
        <v>FL</v>
      </c>
    </row>
    <row r="98" spans="12:13" x14ac:dyDescent="0.3">
      <c r="L98" t="s">
        <v>542</v>
      </c>
      <c r="M98" t="str">
        <f t="shared" si="6"/>
        <v>FL</v>
      </c>
    </row>
    <row r="99" spans="12:13" x14ac:dyDescent="0.3">
      <c r="L99" t="s">
        <v>542</v>
      </c>
      <c r="M99" t="str">
        <f t="shared" si="6"/>
        <v>FL</v>
      </c>
    </row>
    <row r="100" spans="12:13" x14ac:dyDescent="0.3">
      <c r="L100" t="s">
        <v>542</v>
      </c>
      <c r="M100" t="str">
        <f t="shared" si="6"/>
        <v>FL</v>
      </c>
    </row>
    <row r="101" spans="12:13" x14ac:dyDescent="0.3">
      <c r="L101" t="s">
        <v>542</v>
      </c>
      <c r="M101" t="str">
        <f t="shared" si="6"/>
        <v>FL</v>
      </c>
    </row>
    <row r="102" spans="12:13" x14ac:dyDescent="0.3">
      <c r="L102" t="s">
        <v>542</v>
      </c>
      <c r="M102" t="str">
        <f t="shared" si="6"/>
        <v>FL</v>
      </c>
    </row>
    <row r="103" spans="12:13" x14ac:dyDescent="0.3">
      <c r="L103" t="s">
        <v>542</v>
      </c>
      <c r="M103" t="str">
        <f t="shared" si="6"/>
        <v>FL</v>
      </c>
    </row>
    <row r="104" spans="12:13" x14ac:dyDescent="0.3">
      <c r="L104" t="s">
        <v>542</v>
      </c>
      <c r="M104" t="str">
        <f t="shared" si="6"/>
        <v>FL</v>
      </c>
    </row>
    <row r="105" spans="12:13" x14ac:dyDescent="0.3">
      <c r="L105" t="s">
        <v>542</v>
      </c>
      <c r="M105" t="str">
        <f t="shared" si="6"/>
        <v>FL</v>
      </c>
    </row>
    <row r="106" spans="12:13" x14ac:dyDescent="0.3">
      <c r="L106" t="s">
        <v>542</v>
      </c>
      <c r="M106" t="str">
        <f t="shared" si="6"/>
        <v>FL</v>
      </c>
    </row>
    <row r="107" spans="12:13" x14ac:dyDescent="0.3">
      <c r="L107" t="s">
        <v>542</v>
      </c>
      <c r="M107" t="str">
        <f t="shared" si="6"/>
        <v>FL</v>
      </c>
    </row>
    <row r="108" spans="12:13" x14ac:dyDescent="0.3">
      <c r="L108" t="s">
        <v>542</v>
      </c>
      <c r="M108" t="str">
        <f t="shared" si="6"/>
        <v>FL</v>
      </c>
    </row>
    <row r="109" spans="12:13" x14ac:dyDescent="0.3">
      <c r="L109" t="s">
        <v>542</v>
      </c>
      <c r="M109" t="str">
        <f t="shared" si="6"/>
        <v>FL</v>
      </c>
    </row>
    <row r="110" spans="12:13" x14ac:dyDescent="0.3">
      <c r="L110" t="s">
        <v>542</v>
      </c>
      <c r="M110" t="str">
        <f t="shared" si="6"/>
        <v>FL</v>
      </c>
    </row>
    <row r="111" spans="12:13" x14ac:dyDescent="0.3">
      <c r="L111" t="s">
        <v>542</v>
      </c>
      <c r="M111" t="str">
        <f t="shared" si="6"/>
        <v>FL</v>
      </c>
    </row>
    <row r="112" spans="12:13" x14ac:dyDescent="0.3">
      <c r="L112" t="s">
        <v>542</v>
      </c>
      <c r="M112" t="str">
        <f t="shared" si="6"/>
        <v>FL</v>
      </c>
    </row>
    <row r="113" spans="12:13" x14ac:dyDescent="0.3">
      <c r="L113" t="s">
        <v>542</v>
      </c>
      <c r="M113" t="str">
        <f t="shared" si="6"/>
        <v>FL</v>
      </c>
    </row>
    <row r="114" spans="12:13" x14ac:dyDescent="0.3">
      <c r="L114" t="s">
        <v>542</v>
      </c>
      <c r="M114" t="str">
        <f t="shared" si="6"/>
        <v>FL</v>
      </c>
    </row>
    <row r="115" spans="12:13" x14ac:dyDescent="0.3">
      <c r="L115" t="s">
        <v>542</v>
      </c>
      <c r="M115" t="str">
        <f t="shared" si="6"/>
        <v>FL</v>
      </c>
    </row>
    <row r="116" spans="12:13" x14ac:dyDescent="0.3">
      <c r="L116" t="s">
        <v>542</v>
      </c>
      <c r="M116" t="str">
        <f t="shared" si="6"/>
        <v>FL</v>
      </c>
    </row>
    <row r="117" spans="12:13" x14ac:dyDescent="0.3">
      <c r="L117" t="s">
        <v>542</v>
      </c>
      <c r="M117" t="str">
        <f t="shared" si="6"/>
        <v>FL</v>
      </c>
    </row>
    <row r="118" spans="12:13" x14ac:dyDescent="0.3">
      <c r="L118" t="s">
        <v>542</v>
      </c>
      <c r="M118" t="str">
        <f t="shared" si="6"/>
        <v>FL</v>
      </c>
    </row>
    <row r="119" spans="12:13" x14ac:dyDescent="0.3">
      <c r="L119" t="s">
        <v>542</v>
      </c>
      <c r="M119" t="str">
        <f t="shared" si="6"/>
        <v>FL</v>
      </c>
    </row>
    <row r="120" spans="12:13" x14ac:dyDescent="0.3">
      <c r="L120" t="s">
        <v>542</v>
      </c>
      <c r="M120" t="str">
        <f t="shared" si="6"/>
        <v>FL</v>
      </c>
    </row>
    <row r="121" spans="12:13" x14ac:dyDescent="0.3">
      <c r="L121" t="s">
        <v>542</v>
      </c>
      <c r="M121" t="str">
        <f t="shared" si="6"/>
        <v>FL</v>
      </c>
    </row>
    <row r="122" spans="12:13" x14ac:dyDescent="0.3">
      <c r="L122" t="s">
        <v>542</v>
      </c>
      <c r="M122" t="str">
        <f t="shared" si="6"/>
        <v>FL</v>
      </c>
    </row>
    <row r="123" spans="12:13" x14ac:dyDescent="0.3">
      <c r="L123" t="s">
        <v>542</v>
      </c>
      <c r="M123" t="str">
        <f t="shared" si="6"/>
        <v>FL</v>
      </c>
    </row>
    <row r="124" spans="12:13" x14ac:dyDescent="0.3">
      <c r="L124" t="s">
        <v>542</v>
      </c>
      <c r="M124" t="str">
        <f t="shared" si="6"/>
        <v>FL</v>
      </c>
    </row>
    <row r="125" spans="12:13" x14ac:dyDescent="0.3">
      <c r="L125" t="s">
        <v>542</v>
      </c>
      <c r="M125" t="str">
        <f t="shared" si="6"/>
        <v>FL</v>
      </c>
    </row>
    <row r="126" spans="12:13" x14ac:dyDescent="0.3">
      <c r="L126" t="s">
        <v>542</v>
      </c>
      <c r="M126" t="str">
        <f t="shared" si="6"/>
        <v>FL</v>
      </c>
    </row>
    <row r="127" spans="12:13" x14ac:dyDescent="0.3">
      <c r="L127" t="s">
        <v>542</v>
      </c>
      <c r="M127" t="str">
        <f t="shared" si="6"/>
        <v>FL</v>
      </c>
    </row>
    <row r="128" spans="12:13" x14ac:dyDescent="0.3">
      <c r="L128" t="s">
        <v>542</v>
      </c>
      <c r="M128" t="str">
        <f t="shared" si="6"/>
        <v>FL</v>
      </c>
    </row>
    <row r="129" spans="12:13" x14ac:dyDescent="0.3">
      <c r="L129" t="s">
        <v>542</v>
      </c>
      <c r="M129" t="str">
        <f t="shared" si="6"/>
        <v>FL</v>
      </c>
    </row>
    <row r="130" spans="12:13" x14ac:dyDescent="0.3">
      <c r="L130" t="s">
        <v>542</v>
      </c>
      <c r="M130" t="str">
        <f t="shared" ref="M130:M193" si="7">VLOOKUP(L130, $I$1:$J$50, 2, FALSE)</f>
        <v>FL</v>
      </c>
    </row>
    <row r="131" spans="12:13" x14ac:dyDescent="0.3">
      <c r="L131" t="s">
        <v>542</v>
      </c>
      <c r="M131" t="str">
        <f t="shared" si="7"/>
        <v>FL</v>
      </c>
    </row>
    <row r="132" spans="12:13" x14ac:dyDescent="0.3">
      <c r="L132" t="s">
        <v>542</v>
      </c>
      <c r="M132" t="str">
        <f t="shared" si="7"/>
        <v>FL</v>
      </c>
    </row>
    <row r="133" spans="12:13" x14ac:dyDescent="0.3">
      <c r="L133" t="s">
        <v>542</v>
      </c>
      <c r="M133" t="str">
        <f t="shared" si="7"/>
        <v>FL</v>
      </c>
    </row>
    <row r="134" spans="12:13" x14ac:dyDescent="0.3">
      <c r="L134" t="s">
        <v>542</v>
      </c>
      <c r="M134" t="str">
        <f t="shared" si="7"/>
        <v>FL</v>
      </c>
    </row>
    <row r="135" spans="12:13" x14ac:dyDescent="0.3">
      <c r="L135" t="s">
        <v>542</v>
      </c>
      <c r="M135" t="str">
        <f t="shared" si="7"/>
        <v>FL</v>
      </c>
    </row>
    <row r="136" spans="12:13" x14ac:dyDescent="0.3">
      <c r="L136" t="s">
        <v>542</v>
      </c>
      <c r="M136" t="str">
        <f t="shared" si="7"/>
        <v>FL</v>
      </c>
    </row>
    <row r="137" spans="12:13" x14ac:dyDescent="0.3">
      <c r="L137" t="s">
        <v>542</v>
      </c>
      <c r="M137" t="str">
        <f t="shared" si="7"/>
        <v>FL</v>
      </c>
    </row>
    <row r="138" spans="12:13" x14ac:dyDescent="0.3">
      <c r="L138" t="s">
        <v>542</v>
      </c>
      <c r="M138" t="str">
        <f t="shared" si="7"/>
        <v>FL</v>
      </c>
    </row>
    <row r="139" spans="12:13" x14ac:dyDescent="0.3">
      <c r="L139" t="s">
        <v>542</v>
      </c>
      <c r="M139" t="str">
        <f t="shared" si="7"/>
        <v>FL</v>
      </c>
    </row>
    <row r="140" spans="12:13" x14ac:dyDescent="0.3">
      <c r="L140" t="s">
        <v>542</v>
      </c>
      <c r="M140" t="str">
        <f t="shared" si="7"/>
        <v>FL</v>
      </c>
    </row>
    <row r="141" spans="12:13" x14ac:dyDescent="0.3">
      <c r="L141" t="s">
        <v>542</v>
      </c>
      <c r="M141" t="str">
        <f t="shared" si="7"/>
        <v>FL</v>
      </c>
    </row>
    <row r="142" spans="12:13" x14ac:dyDescent="0.3">
      <c r="L142" t="s">
        <v>542</v>
      </c>
      <c r="M142" t="str">
        <f t="shared" si="7"/>
        <v>FL</v>
      </c>
    </row>
    <row r="143" spans="12:13" x14ac:dyDescent="0.3">
      <c r="L143" t="s">
        <v>542</v>
      </c>
      <c r="M143" t="str">
        <f t="shared" si="7"/>
        <v>FL</v>
      </c>
    </row>
    <row r="144" spans="12:13" x14ac:dyDescent="0.3">
      <c r="L144" t="s">
        <v>542</v>
      </c>
      <c r="M144" t="str">
        <f t="shared" si="7"/>
        <v>FL</v>
      </c>
    </row>
    <row r="145" spans="12:13" x14ac:dyDescent="0.3">
      <c r="L145" t="s">
        <v>542</v>
      </c>
      <c r="M145" t="str">
        <f t="shared" si="7"/>
        <v>FL</v>
      </c>
    </row>
    <row r="146" spans="12:13" x14ac:dyDescent="0.3">
      <c r="L146" t="s">
        <v>542</v>
      </c>
      <c r="M146" t="str">
        <f t="shared" si="7"/>
        <v>FL</v>
      </c>
    </row>
    <row r="147" spans="12:13" x14ac:dyDescent="0.3">
      <c r="L147" t="s">
        <v>542</v>
      </c>
      <c r="M147" t="str">
        <f t="shared" si="7"/>
        <v>FL</v>
      </c>
    </row>
    <row r="148" spans="12:13" x14ac:dyDescent="0.3">
      <c r="L148" t="s">
        <v>542</v>
      </c>
      <c r="M148" t="str">
        <f t="shared" si="7"/>
        <v>FL</v>
      </c>
    </row>
    <row r="149" spans="12:13" x14ac:dyDescent="0.3">
      <c r="L149" t="s">
        <v>542</v>
      </c>
      <c r="M149" t="str">
        <f t="shared" si="7"/>
        <v>FL</v>
      </c>
    </row>
    <row r="150" spans="12:13" x14ac:dyDescent="0.3">
      <c r="L150" t="s">
        <v>796</v>
      </c>
      <c r="M150" t="str">
        <f t="shared" si="7"/>
        <v>GA</v>
      </c>
    </row>
    <row r="151" spans="12:13" x14ac:dyDescent="0.3">
      <c r="L151" t="s">
        <v>796</v>
      </c>
      <c r="M151" t="str">
        <f t="shared" si="7"/>
        <v>GA</v>
      </c>
    </row>
    <row r="152" spans="12:13" x14ac:dyDescent="0.3">
      <c r="L152" t="s">
        <v>796</v>
      </c>
      <c r="M152" t="str">
        <f t="shared" si="7"/>
        <v>GA</v>
      </c>
    </row>
    <row r="153" spans="12:13" x14ac:dyDescent="0.3">
      <c r="L153" t="s">
        <v>796</v>
      </c>
      <c r="M153" t="str">
        <f t="shared" si="7"/>
        <v>GA</v>
      </c>
    </row>
    <row r="154" spans="12:13" x14ac:dyDescent="0.3">
      <c r="L154" t="s">
        <v>796</v>
      </c>
      <c r="M154" t="str">
        <f t="shared" si="7"/>
        <v>GA</v>
      </c>
    </row>
    <row r="155" spans="12:13" x14ac:dyDescent="0.3">
      <c r="L155" t="s">
        <v>796</v>
      </c>
      <c r="M155" t="str">
        <f t="shared" si="7"/>
        <v>GA</v>
      </c>
    </row>
    <row r="156" spans="12:13" x14ac:dyDescent="0.3">
      <c r="L156" t="s">
        <v>796</v>
      </c>
      <c r="M156" t="str">
        <f t="shared" si="7"/>
        <v>GA</v>
      </c>
    </row>
    <row r="157" spans="12:13" x14ac:dyDescent="0.3">
      <c r="L157" t="s">
        <v>796</v>
      </c>
      <c r="M157" t="str">
        <f t="shared" si="7"/>
        <v>GA</v>
      </c>
    </row>
    <row r="158" spans="12:13" x14ac:dyDescent="0.3">
      <c r="L158" t="s">
        <v>796</v>
      </c>
      <c r="M158" t="str">
        <f t="shared" si="7"/>
        <v>GA</v>
      </c>
    </row>
    <row r="159" spans="12:13" x14ac:dyDescent="0.3">
      <c r="L159" t="s">
        <v>799</v>
      </c>
      <c r="M159" t="str">
        <f t="shared" si="7"/>
        <v>ID</v>
      </c>
    </row>
    <row r="160" spans="12:13" x14ac:dyDescent="0.3">
      <c r="L160" t="s">
        <v>799</v>
      </c>
      <c r="M160" t="str">
        <f t="shared" si="7"/>
        <v>ID</v>
      </c>
    </row>
    <row r="161" spans="12:13" x14ac:dyDescent="0.3">
      <c r="L161" t="s">
        <v>799</v>
      </c>
      <c r="M161" t="str">
        <f t="shared" si="7"/>
        <v>ID</v>
      </c>
    </row>
    <row r="162" spans="12:13" x14ac:dyDescent="0.3">
      <c r="L162" t="s">
        <v>800</v>
      </c>
      <c r="M162" t="str">
        <f t="shared" si="7"/>
        <v>IL</v>
      </c>
    </row>
    <row r="163" spans="12:13" x14ac:dyDescent="0.3">
      <c r="L163" t="s">
        <v>800</v>
      </c>
      <c r="M163" t="str">
        <f t="shared" si="7"/>
        <v>IL</v>
      </c>
    </row>
    <row r="164" spans="12:13" x14ac:dyDescent="0.3">
      <c r="L164" t="s">
        <v>800</v>
      </c>
      <c r="M164" t="str">
        <f t="shared" si="7"/>
        <v>IL</v>
      </c>
    </row>
    <row r="165" spans="12:13" x14ac:dyDescent="0.3">
      <c r="L165" t="s">
        <v>806</v>
      </c>
      <c r="M165" t="str">
        <f t="shared" si="7"/>
        <v>KS</v>
      </c>
    </row>
    <row r="166" spans="12:13" x14ac:dyDescent="0.3">
      <c r="L166" t="s">
        <v>808</v>
      </c>
      <c r="M166" t="str">
        <f t="shared" si="7"/>
        <v>KY</v>
      </c>
    </row>
    <row r="167" spans="12:13" x14ac:dyDescent="0.3">
      <c r="L167" t="s">
        <v>808</v>
      </c>
      <c r="M167" t="str">
        <f t="shared" si="7"/>
        <v>KY</v>
      </c>
    </row>
    <row r="168" spans="12:13" x14ac:dyDescent="0.3">
      <c r="L168" t="s">
        <v>808</v>
      </c>
      <c r="M168" t="str">
        <f t="shared" si="7"/>
        <v>KY</v>
      </c>
    </row>
    <row r="169" spans="12:13" x14ac:dyDescent="0.3">
      <c r="L169" t="s">
        <v>808</v>
      </c>
      <c r="M169" t="str">
        <f t="shared" si="7"/>
        <v>KY</v>
      </c>
    </row>
    <row r="170" spans="12:13" x14ac:dyDescent="0.3">
      <c r="L170" t="s">
        <v>808</v>
      </c>
      <c r="M170" t="str">
        <f t="shared" si="7"/>
        <v>KY</v>
      </c>
    </row>
    <row r="171" spans="12:13" x14ac:dyDescent="0.3">
      <c r="L171" t="s">
        <v>808</v>
      </c>
      <c r="M171" t="str">
        <f t="shared" si="7"/>
        <v>KY</v>
      </c>
    </row>
    <row r="172" spans="12:13" x14ac:dyDescent="0.3">
      <c r="L172" t="s">
        <v>808</v>
      </c>
      <c r="M172" t="str">
        <f t="shared" si="7"/>
        <v>KY</v>
      </c>
    </row>
    <row r="173" spans="12:13" x14ac:dyDescent="0.3">
      <c r="L173" t="s">
        <v>808</v>
      </c>
      <c r="M173" t="str">
        <f t="shared" si="7"/>
        <v>KY</v>
      </c>
    </row>
    <row r="174" spans="12:13" x14ac:dyDescent="0.3">
      <c r="L174" t="s">
        <v>809</v>
      </c>
      <c r="M174" t="str">
        <f t="shared" si="7"/>
        <v>LA</v>
      </c>
    </row>
    <row r="175" spans="12:13" x14ac:dyDescent="0.3">
      <c r="L175" t="s">
        <v>810</v>
      </c>
      <c r="M175" t="str">
        <f t="shared" si="7"/>
        <v>ME</v>
      </c>
    </row>
    <row r="176" spans="12:13" x14ac:dyDescent="0.3">
      <c r="L176" t="s">
        <v>810</v>
      </c>
      <c r="M176" t="str">
        <f t="shared" si="7"/>
        <v>ME</v>
      </c>
    </row>
    <row r="177" spans="12:13" x14ac:dyDescent="0.3">
      <c r="L177" t="s">
        <v>810</v>
      </c>
      <c r="M177" t="str">
        <f t="shared" si="7"/>
        <v>ME</v>
      </c>
    </row>
    <row r="178" spans="12:13" x14ac:dyDescent="0.3">
      <c r="L178" t="s">
        <v>61</v>
      </c>
      <c r="M178" t="str">
        <f t="shared" si="7"/>
        <v>MD</v>
      </c>
    </row>
    <row r="179" spans="12:13" x14ac:dyDescent="0.3">
      <c r="L179" t="s">
        <v>61</v>
      </c>
      <c r="M179" t="str">
        <f t="shared" si="7"/>
        <v>MD</v>
      </c>
    </row>
    <row r="180" spans="12:13" x14ac:dyDescent="0.3">
      <c r="L180" t="s">
        <v>61</v>
      </c>
      <c r="M180" t="str">
        <f t="shared" si="7"/>
        <v>MD</v>
      </c>
    </row>
    <row r="181" spans="12:13" x14ac:dyDescent="0.3">
      <c r="L181" t="s">
        <v>61</v>
      </c>
      <c r="M181" t="str">
        <f t="shared" si="7"/>
        <v>MD</v>
      </c>
    </row>
    <row r="182" spans="12:13" x14ac:dyDescent="0.3">
      <c r="L182" t="s">
        <v>61</v>
      </c>
      <c r="M182" t="str">
        <f t="shared" si="7"/>
        <v>MD</v>
      </c>
    </row>
    <row r="183" spans="12:13" x14ac:dyDescent="0.3">
      <c r="L183" t="s">
        <v>61</v>
      </c>
      <c r="M183" t="str">
        <f t="shared" si="7"/>
        <v>MD</v>
      </c>
    </row>
    <row r="184" spans="12:13" x14ac:dyDescent="0.3">
      <c r="L184" t="s">
        <v>61</v>
      </c>
      <c r="M184" t="str">
        <f t="shared" si="7"/>
        <v>MD</v>
      </c>
    </row>
    <row r="185" spans="12:13" x14ac:dyDescent="0.3">
      <c r="L185" t="s">
        <v>61</v>
      </c>
      <c r="M185" t="str">
        <f t="shared" si="7"/>
        <v>MD</v>
      </c>
    </row>
    <row r="186" spans="12:13" x14ac:dyDescent="0.3">
      <c r="L186" t="s">
        <v>61</v>
      </c>
      <c r="M186" t="str">
        <f t="shared" si="7"/>
        <v>MD</v>
      </c>
    </row>
    <row r="187" spans="12:13" x14ac:dyDescent="0.3">
      <c r="L187" t="s">
        <v>61</v>
      </c>
      <c r="M187" t="str">
        <f t="shared" si="7"/>
        <v>MD</v>
      </c>
    </row>
    <row r="188" spans="12:13" x14ac:dyDescent="0.3">
      <c r="L188" t="s">
        <v>61</v>
      </c>
      <c r="M188" t="str">
        <f t="shared" si="7"/>
        <v>MD</v>
      </c>
    </row>
    <row r="189" spans="12:13" x14ac:dyDescent="0.3">
      <c r="L189" t="s">
        <v>61</v>
      </c>
      <c r="M189" t="str">
        <f t="shared" si="7"/>
        <v>MD</v>
      </c>
    </row>
    <row r="190" spans="12:13" x14ac:dyDescent="0.3">
      <c r="L190" t="s">
        <v>61</v>
      </c>
      <c r="M190" t="str">
        <f t="shared" si="7"/>
        <v>MD</v>
      </c>
    </row>
    <row r="191" spans="12:13" x14ac:dyDescent="0.3">
      <c r="L191" t="s">
        <v>61</v>
      </c>
      <c r="M191" t="str">
        <f t="shared" si="7"/>
        <v>MD</v>
      </c>
    </row>
    <row r="192" spans="12:13" x14ac:dyDescent="0.3">
      <c r="L192" t="s">
        <v>61</v>
      </c>
      <c r="M192" t="str">
        <f t="shared" si="7"/>
        <v>MD</v>
      </c>
    </row>
    <row r="193" spans="12:13" x14ac:dyDescent="0.3">
      <c r="L193" t="s">
        <v>61</v>
      </c>
      <c r="M193" t="str">
        <f t="shared" si="7"/>
        <v>MD</v>
      </c>
    </row>
    <row r="194" spans="12:13" x14ac:dyDescent="0.3">
      <c r="L194" t="s">
        <v>61</v>
      </c>
      <c r="M194" t="str">
        <f t="shared" ref="M194:M257" si="8">VLOOKUP(L194, $I$1:$J$50, 2, FALSE)</f>
        <v>MD</v>
      </c>
    </row>
    <row r="195" spans="12:13" x14ac:dyDescent="0.3">
      <c r="L195" t="s">
        <v>61</v>
      </c>
      <c r="M195" t="str">
        <f t="shared" si="8"/>
        <v>MD</v>
      </c>
    </row>
    <row r="196" spans="12:13" x14ac:dyDescent="0.3">
      <c r="L196" t="s">
        <v>61</v>
      </c>
      <c r="M196" t="str">
        <f t="shared" si="8"/>
        <v>MD</v>
      </c>
    </row>
    <row r="197" spans="12:13" x14ac:dyDescent="0.3">
      <c r="L197" t="s">
        <v>61</v>
      </c>
      <c r="M197" t="str">
        <f t="shared" si="8"/>
        <v>MD</v>
      </c>
    </row>
    <row r="198" spans="12:13" x14ac:dyDescent="0.3">
      <c r="L198" t="s">
        <v>61</v>
      </c>
      <c r="M198" t="str">
        <f t="shared" si="8"/>
        <v>MD</v>
      </c>
    </row>
    <row r="199" spans="12:13" x14ac:dyDescent="0.3">
      <c r="L199" t="s">
        <v>61</v>
      </c>
      <c r="M199" t="str">
        <f t="shared" si="8"/>
        <v>MD</v>
      </c>
    </row>
    <row r="200" spans="12:13" x14ac:dyDescent="0.3">
      <c r="L200" t="s">
        <v>61</v>
      </c>
      <c r="M200" t="str">
        <f t="shared" si="8"/>
        <v>MD</v>
      </c>
    </row>
    <row r="201" spans="12:13" x14ac:dyDescent="0.3">
      <c r="L201" t="s">
        <v>61</v>
      </c>
      <c r="M201" t="str">
        <f t="shared" si="8"/>
        <v>MD</v>
      </c>
    </row>
    <row r="202" spans="12:13" x14ac:dyDescent="0.3">
      <c r="L202" t="s">
        <v>61</v>
      </c>
      <c r="M202" t="str">
        <f t="shared" si="8"/>
        <v>MD</v>
      </c>
    </row>
    <row r="203" spans="12:13" x14ac:dyDescent="0.3">
      <c r="L203" t="s">
        <v>61</v>
      </c>
      <c r="M203" t="str">
        <f t="shared" si="8"/>
        <v>MD</v>
      </c>
    </row>
    <row r="204" spans="12:13" x14ac:dyDescent="0.3">
      <c r="L204" t="s">
        <v>61</v>
      </c>
      <c r="M204" t="str">
        <f t="shared" si="8"/>
        <v>MD</v>
      </c>
    </row>
    <row r="205" spans="12:13" x14ac:dyDescent="0.3">
      <c r="L205" t="s">
        <v>61</v>
      </c>
      <c r="M205" t="str">
        <f t="shared" si="8"/>
        <v>MD</v>
      </c>
    </row>
    <row r="206" spans="12:13" x14ac:dyDescent="0.3">
      <c r="L206" t="s">
        <v>61</v>
      </c>
      <c r="M206" t="str">
        <f t="shared" si="8"/>
        <v>MD</v>
      </c>
    </row>
    <row r="207" spans="12:13" x14ac:dyDescent="0.3">
      <c r="L207" t="s">
        <v>813</v>
      </c>
      <c r="M207" t="str">
        <f t="shared" si="8"/>
        <v>MA</v>
      </c>
    </row>
    <row r="208" spans="12:13" x14ac:dyDescent="0.3">
      <c r="L208" t="s">
        <v>813</v>
      </c>
      <c r="M208" t="str">
        <f t="shared" si="8"/>
        <v>MA</v>
      </c>
    </row>
    <row r="209" spans="12:13" x14ac:dyDescent="0.3">
      <c r="L209" t="s">
        <v>813</v>
      </c>
      <c r="M209" t="str">
        <f t="shared" si="8"/>
        <v>MA</v>
      </c>
    </row>
    <row r="210" spans="12:13" x14ac:dyDescent="0.3">
      <c r="L210" t="s">
        <v>813</v>
      </c>
      <c r="M210" t="str">
        <f t="shared" si="8"/>
        <v>MA</v>
      </c>
    </row>
    <row r="211" spans="12:13" x14ac:dyDescent="0.3">
      <c r="L211" t="s">
        <v>813</v>
      </c>
      <c r="M211" t="str">
        <f t="shared" si="8"/>
        <v>MA</v>
      </c>
    </row>
    <row r="212" spans="12:13" x14ac:dyDescent="0.3">
      <c r="L212" t="s">
        <v>813</v>
      </c>
      <c r="M212" t="str">
        <f t="shared" si="8"/>
        <v>MA</v>
      </c>
    </row>
    <row r="213" spans="12:13" x14ac:dyDescent="0.3">
      <c r="L213" t="s">
        <v>813</v>
      </c>
      <c r="M213" t="str">
        <f t="shared" si="8"/>
        <v>MA</v>
      </c>
    </row>
    <row r="214" spans="12:13" x14ac:dyDescent="0.3">
      <c r="L214" t="s">
        <v>813</v>
      </c>
      <c r="M214" t="str">
        <f t="shared" si="8"/>
        <v>MA</v>
      </c>
    </row>
    <row r="215" spans="12:13" x14ac:dyDescent="0.3">
      <c r="L215" t="s">
        <v>813</v>
      </c>
      <c r="M215" t="str">
        <f t="shared" si="8"/>
        <v>MA</v>
      </c>
    </row>
    <row r="216" spans="12:13" x14ac:dyDescent="0.3">
      <c r="L216" t="s">
        <v>813</v>
      </c>
      <c r="M216" t="str">
        <f t="shared" si="8"/>
        <v>MA</v>
      </c>
    </row>
    <row r="217" spans="12:13" x14ac:dyDescent="0.3">
      <c r="L217" t="s">
        <v>813</v>
      </c>
      <c r="M217" t="str">
        <f t="shared" si="8"/>
        <v>MA</v>
      </c>
    </row>
    <row r="218" spans="12:13" x14ac:dyDescent="0.3">
      <c r="L218" t="s">
        <v>813</v>
      </c>
      <c r="M218" t="str">
        <f t="shared" si="8"/>
        <v>MA</v>
      </c>
    </row>
    <row r="219" spans="12:13" x14ac:dyDescent="0.3">
      <c r="L219" t="s">
        <v>813</v>
      </c>
      <c r="M219" t="str">
        <f t="shared" si="8"/>
        <v>MA</v>
      </c>
    </row>
    <row r="220" spans="12:13" x14ac:dyDescent="0.3">
      <c r="L220" t="s">
        <v>813</v>
      </c>
      <c r="M220" t="str">
        <f t="shared" si="8"/>
        <v>MA</v>
      </c>
    </row>
    <row r="221" spans="12:13" x14ac:dyDescent="0.3">
      <c r="L221" t="s">
        <v>813</v>
      </c>
      <c r="M221" t="str">
        <f t="shared" si="8"/>
        <v>MA</v>
      </c>
    </row>
    <row r="222" spans="12:13" x14ac:dyDescent="0.3">
      <c r="L222" t="s">
        <v>814</v>
      </c>
      <c r="M222" t="str">
        <f t="shared" si="8"/>
        <v>MI</v>
      </c>
    </row>
    <row r="223" spans="12:13" x14ac:dyDescent="0.3">
      <c r="L223" t="s">
        <v>814</v>
      </c>
      <c r="M223" t="str">
        <f t="shared" si="8"/>
        <v>MI</v>
      </c>
    </row>
    <row r="224" spans="12:13" x14ac:dyDescent="0.3">
      <c r="L224" t="s">
        <v>814</v>
      </c>
      <c r="M224" t="str">
        <f t="shared" si="8"/>
        <v>MI</v>
      </c>
    </row>
    <row r="225" spans="12:13" x14ac:dyDescent="0.3">
      <c r="L225" t="s">
        <v>814</v>
      </c>
      <c r="M225" t="str">
        <f t="shared" si="8"/>
        <v>MI</v>
      </c>
    </row>
    <row r="226" spans="12:13" x14ac:dyDescent="0.3">
      <c r="L226" t="s">
        <v>819</v>
      </c>
      <c r="M226" t="str">
        <f t="shared" si="8"/>
        <v>MO</v>
      </c>
    </row>
    <row r="227" spans="12:13" x14ac:dyDescent="0.3">
      <c r="L227" t="s">
        <v>825</v>
      </c>
      <c r="M227" t="str">
        <f t="shared" si="8"/>
        <v>NH</v>
      </c>
    </row>
    <row r="228" spans="12:13" x14ac:dyDescent="0.3">
      <c r="L228" t="s">
        <v>825</v>
      </c>
      <c r="M228" t="str">
        <f t="shared" si="8"/>
        <v>NH</v>
      </c>
    </row>
    <row r="229" spans="12:13" x14ac:dyDescent="0.3">
      <c r="L229" t="s">
        <v>827</v>
      </c>
      <c r="M229" t="str">
        <f t="shared" si="8"/>
        <v>NJ</v>
      </c>
    </row>
    <row r="230" spans="12:13" x14ac:dyDescent="0.3">
      <c r="L230" t="s">
        <v>827</v>
      </c>
      <c r="M230" t="str">
        <f t="shared" si="8"/>
        <v>NJ</v>
      </c>
    </row>
    <row r="231" spans="12:13" x14ac:dyDescent="0.3">
      <c r="L231" t="s">
        <v>827</v>
      </c>
      <c r="M231" t="str">
        <f t="shared" si="8"/>
        <v>NJ</v>
      </c>
    </row>
    <row r="232" spans="12:13" x14ac:dyDescent="0.3">
      <c r="L232" t="s">
        <v>827</v>
      </c>
      <c r="M232" t="str">
        <f t="shared" si="8"/>
        <v>NJ</v>
      </c>
    </row>
    <row r="233" spans="12:13" x14ac:dyDescent="0.3">
      <c r="L233" t="s">
        <v>827</v>
      </c>
      <c r="M233" t="str">
        <f t="shared" si="8"/>
        <v>NJ</v>
      </c>
    </row>
    <row r="234" spans="12:13" x14ac:dyDescent="0.3">
      <c r="L234" t="s">
        <v>827</v>
      </c>
      <c r="M234" t="str">
        <f t="shared" si="8"/>
        <v>NJ</v>
      </c>
    </row>
    <row r="235" spans="12:13" x14ac:dyDescent="0.3">
      <c r="L235" t="s">
        <v>827</v>
      </c>
      <c r="M235" t="str">
        <f t="shared" si="8"/>
        <v>NJ</v>
      </c>
    </row>
    <row r="236" spans="12:13" x14ac:dyDescent="0.3">
      <c r="L236" t="s">
        <v>827</v>
      </c>
      <c r="M236" t="str">
        <f t="shared" si="8"/>
        <v>NJ</v>
      </c>
    </row>
    <row r="237" spans="12:13" x14ac:dyDescent="0.3">
      <c r="L237" t="s">
        <v>827</v>
      </c>
      <c r="M237" t="str">
        <f t="shared" si="8"/>
        <v>NJ</v>
      </c>
    </row>
    <row r="238" spans="12:13" x14ac:dyDescent="0.3">
      <c r="L238" t="s">
        <v>827</v>
      </c>
      <c r="M238" t="str">
        <f t="shared" si="8"/>
        <v>NJ</v>
      </c>
    </row>
    <row r="239" spans="12:13" x14ac:dyDescent="0.3">
      <c r="L239" t="s">
        <v>827</v>
      </c>
      <c r="M239" t="str">
        <f t="shared" si="8"/>
        <v>NJ</v>
      </c>
    </row>
    <row r="240" spans="12:13" x14ac:dyDescent="0.3">
      <c r="L240" t="s">
        <v>827</v>
      </c>
      <c r="M240" t="str">
        <f t="shared" si="8"/>
        <v>NJ</v>
      </c>
    </row>
    <row r="241" spans="12:13" x14ac:dyDescent="0.3">
      <c r="L241" t="s">
        <v>827</v>
      </c>
      <c r="M241" t="str">
        <f t="shared" si="8"/>
        <v>NJ</v>
      </c>
    </row>
    <row r="242" spans="12:13" x14ac:dyDescent="0.3">
      <c r="L242" t="s">
        <v>827</v>
      </c>
      <c r="M242" t="str">
        <f t="shared" si="8"/>
        <v>NJ</v>
      </c>
    </row>
    <row r="243" spans="12:13" x14ac:dyDescent="0.3">
      <c r="L243" t="s">
        <v>827</v>
      </c>
      <c r="M243" t="str">
        <f t="shared" si="8"/>
        <v>NJ</v>
      </c>
    </row>
    <row r="244" spans="12:13" x14ac:dyDescent="0.3">
      <c r="L244" t="s">
        <v>827</v>
      </c>
      <c r="M244" t="str">
        <f t="shared" si="8"/>
        <v>NJ</v>
      </c>
    </row>
    <row r="245" spans="12:13" x14ac:dyDescent="0.3">
      <c r="L245" t="s">
        <v>827</v>
      </c>
      <c r="M245" t="str">
        <f t="shared" si="8"/>
        <v>NJ</v>
      </c>
    </row>
    <row r="246" spans="12:13" x14ac:dyDescent="0.3">
      <c r="L246" t="s">
        <v>827</v>
      </c>
      <c r="M246" t="str">
        <f t="shared" si="8"/>
        <v>NJ</v>
      </c>
    </row>
    <row r="247" spans="12:13" x14ac:dyDescent="0.3">
      <c r="L247" t="s">
        <v>827</v>
      </c>
      <c r="M247" t="str">
        <f t="shared" si="8"/>
        <v>NJ</v>
      </c>
    </row>
    <row r="248" spans="12:13" x14ac:dyDescent="0.3">
      <c r="L248" t="s">
        <v>827</v>
      </c>
      <c r="M248" t="str">
        <f t="shared" si="8"/>
        <v>NJ</v>
      </c>
    </row>
    <row r="249" spans="12:13" x14ac:dyDescent="0.3">
      <c r="L249" t="s">
        <v>827</v>
      </c>
      <c r="M249" t="str">
        <f t="shared" si="8"/>
        <v>NJ</v>
      </c>
    </row>
    <row r="250" spans="12:13" x14ac:dyDescent="0.3">
      <c r="L250" t="s">
        <v>827</v>
      </c>
      <c r="M250" t="str">
        <f t="shared" si="8"/>
        <v>NJ</v>
      </c>
    </row>
    <row r="251" spans="12:13" x14ac:dyDescent="0.3">
      <c r="L251" t="s">
        <v>827</v>
      </c>
      <c r="M251" t="str">
        <f t="shared" si="8"/>
        <v>NJ</v>
      </c>
    </row>
    <row r="252" spans="12:13" x14ac:dyDescent="0.3">
      <c r="L252" t="s">
        <v>827</v>
      </c>
      <c r="M252" t="str">
        <f t="shared" si="8"/>
        <v>NJ</v>
      </c>
    </row>
    <row r="253" spans="12:13" x14ac:dyDescent="0.3">
      <c r="L253" t="s">
        <v>827</v>
      </c>
      <c r="M253" t="str">
        <f t="shared" si="8"/>
        <v>NJ</v>
      </c>
    </row>
    <row r="254" spans="12:13" x14ac:dyDescent="0.3">
      <c r="L254" t="s">
        <v>830</v>
      </c>
      <c r="M254" t="str">
        <f t="shared" si="8"/>
        <v>NY</v>
      </c>
    </row>
    <row r="255" spans="12:13" x14ac:dyDescent="0.3">
      <c r="L255" t="s">
        <v>830</v>
      </c>
      <c r="M255" t="str">
        <f t="shared" si="8"/>
        <v>NY</v>
      </c>
    </row>
    <row r="256" spans="12:13" x14ac:dyDescent="0.3">
      <c r="L256" t="s">
        <v>830</v>
      </c>
      <c r="M256" t="str">
        <f t="shared" si="8"/>
        <v>NY</v>
      </c>
    </row>
    <row r="257" spans="12:13" x14ac:dyDescent="0.3">
      <c r="L257" t="s">
        <v>830</v>
      </c>
      <c r="M257" t="str">
        <f t="shared" si="8"/>
        <v>NY</v>
      </c>
    </row>
    <row r="258" spans="12:13" x14ac:dyDescent="0.3">
      <c r="L258" t="s">
        <v>830</v>
      </c>
      <c r="M258" t="str">
        <f t="shared" ref="M258:M321" si="9">VLOOKUP(L258, $I$1:$J$50, 2, FALSE)</f>
        <v>NY</v>
      </c>
    </row>
    <row r="259" spans="12:13" x14ac:dyDescent="0.3">
      <c r="L259" t="s">
        <v>830</v>
      </c>
      <c r="M259" t="str">
        <f t="shared" si="9"/>
        <v>NY</v>
      </c>
    </row>
    <row r="260" spans="12:13" x14ac:dyDescent="0.3">
      <c r="L260" t="s">
        <v>830</v>
      </c>
      <c r="M260" t="str">
        <f t="shared" si="9"/>
        <v>NY</v>
      </c>
    </row>
    <row r="261" spans="12:13" x14ac:dyDescent="0.3">
      <c r="L261" t="s">
        <v>830</v>
      </c>
      <c r="M261" t="str">
        <f t="shared" si="9"/>
        <v>NY</v>
      </c>
    </row>
    <row r="262" spans="12:13" x14ac:dyDescent="0.3">
      <c r="L262" t="s">
        <v>830</v>
      </c>
      <c r="M262" t="str">
        <f t="shared" si="9"/>
        <v>NY</v>
      </c>
    </row>
    <row r="263" spans="12:13" x14ac:dyDescent="0.3">
      <c r="L263" t="s">
        <v>830</v>
      </c>
      <c r="M263" t="str">
        <f t="shared" si="9"/>
        <v>NY</v>
      </c>
    </row>
    <row r="264" spans="12:13" x14ac:dyDescent="0.3">
      <c r="L264" t="s">
        <v>830</v>
      </c>
      <c r="M264" t="str">
        <f t="shared" si="9"/>
        <v>NY</v>
      </c>
    </row>
    <row r="265" spans="12:13" x14ac:dyDescent="0.3">
      <c r="L265" t="s">
        <v>830</v>
      </c>
      <c r="M265" t="str">
        <f t="shared" si="9"/>
        <v>NY</v>
      </c>
    </row>
    <row r="266" spans="12:13" x14ac:dyDescent="0.3">
      <c r="L266" t="s">
        <v>830</v>
      </c>
      <c r="M266" t="str">
        <f t="shared" si="9"/>
        <v>NY</v>
      </c>
    </row>
    <row r="267" spans="12:13" x14ac:dyDescent="0.3">
      <c r="L267" t="s">
        <v>830</v>
      </c>
      <c r="M267" t="str">
        <f t="shared" si="9"/>
        <v>NY</v>
      </c>
    </row>
    <row r="268" spans="12:13" x14ac:dyDescent="0.3">
      <c r="L268" t="s">
        <v>830</v>
      </c>
      <c r="M268" t="str">
        <f t="shared" si="9"/>
        <v>NY</v>
      </c>
    </row>
    <row r="269" spans="12:13" x14ac:dyDescent="0.3">
      <c r="L269" t="s">
        <v>830</v>
      </c>
      <c r="M269" t="str">
        <f t="shared" si="9"/>
        <v>NY</v>
      </c>
    </row>
    <row r="270" spans="12:13" x14ac:dyDescent="0.3">
      <c r="L270" t="s">
        <v>830</v>
      </c>
      <c r="M270" t="str">
        <f t="shared" si="9"/>
        <v>NY</v>
      </c>
    </row>
    <row r="271" spans="12:13" x14ac:dyDescent="0.3">
      <c r="L271" t="s">
        <v>830</v>
      </c>
      <c r="M271" t="str">
        <f t="shared" si="9"/>
        <v>NY</v>
      </c>
    </row>
    <row r="272" spans="12:13" x14ac:dyDescent="0.3">
      <c r="L272" t="s">
        <v>830</v>
      </c>
      <c r="M272" t="str">
        <f t="shared" si="9"/>
        <v>NY</v>
      </c>
    </row>
    <row r="273" spans="12:13" x14ac:dyDescent="0.3">
      <c r="L273" t="s">
        <v>830</v>
      </c>
      <c r="M273" t="str">
        <f t="shared" si="9"/>
        <v>NY</v>
      </c>
    </row>
    <row r="274" spans="12:13" x14ac:dyDescent="0.3">
      <c r="L274" t="s">
        <v>830</v>
      </c>
      <c r="M274" t="str">
        <f t="shared" si="9"/>
        <v>NY</v>
      </c>
    </row>
    <row r="275" spans="12:13" x14ac:dyDescent="0.3">
      <c r="L275" t="s">
        <v>830</v>
      </c>
      <c r="M275" t="str">
        <f t="shared" si="9"/>
        <v>NY</v>
      </c>
    </row>
    <row r="276" spans="12:13" x14ac:dyDescent="0.3">
      <c r="L276" t="s">
        <v>830</v>
      </c>
      <c r="M276" t="str">
        <f t="shared" si="9"/>
        <v>NY</v>
      </c>
    </row>
    <row r="277" spans="12:13" x14ac:dyDescent="0.3">
      <c r="L277" t="s">
        <v>830</v>
      </c>
      <c r="M277" t="str">
        <f t="shared" si="9"/>
        <v>NY</v>
      </c>
    </row>
    <row r="278" spans="12:13" x14ac:dyDescent="0.3">
      <c r="L278" t="s">
        <v>830</v>
      </c>
      <c r="M278" t="str">
        <f t="shared" si="9"/>
        <v>NY</v>
      </c>
    </row>
    <row r="279" spans="12:13" x14ac:dyDescent="0.3">
      <c r="L279" t="s">
        <v>830</v>
      </c>
      <c r="M279" t="str">
        <f t="shared" si="9"/>
        <v>NY</v>
      </c>
    </row>
    <row r="280" spans="12:13" x14ac:dyDescent="0.3">
      <c r="L280" t="s">
        <v>831</v>
      </c>
      <c r="M280" t="str">
        <f t="shared" si="9"/>
        <v>NC</v>
      </c>
    </row>
    <row r="281" spans="12:13" x14ac:dyDescent="0.3">
      <c r="L281" t="s">
        <v>831</v>
      </c>
      <c r="M281" t="str">
        <f t="shared" si="9"/>
        <v>NC</v>
      </c>
    </row>
    <row r="282" spans="12:13" x14ac:dyDescent="0.3">
      <c r="L282" t="s">
        <v>831</v>
      </c>
      <c r="M282" t="str">
        <f t="shared" si="9"/>
        <v>NC</v>
      </c>
    </row>
    <row r="283" spans="12:13" x14ac:dyDescent="0.3">
      <c r="L283" t="s">
        <v>831</v>
      </c>
      <c r="M283" t="str">
        <f t="shared" si="9"/>
        <v>NC</v>
      </c>
    </row>
    <row r="284" spans="12:13" x14ac:dyDescent="0.3">
      <c r="L284" t="s">
        <v>831</v>
      </c>
      <c r="M284" t="str">
        <f t="shared" si="9"/>
        <v>NC</v>
      </c>
    </row>
    <row r="285" spans="12:13" x14ac:dyDescent="0.3">
      <c r="L285" t="s">
        <v>831</v>
      </c>
      <c r="M285" t="str">
        <f t="shared" si="9"/>
        <v>NC</v>
      </c>
    </row>
    <row r="286" spans="12:13" x14ac:dyDescent="0.3">
      <c r="L286" t="s">
        <v>831</v>
      </c>
      <c r="M286" t="str">
        <f t="shared" si="9"/>
        <v>NC</v>
      </c>
    </row>
    <row r="287" spans="12:13" x14ac:dyDescent="0.3">
      <c r="L287" t="s">
        <v>831</v>
      </c>
      <c r="M287" t="str">
        <f t="shared" si="9"/>
        <v>NC</v>
      </c>
    </row>
    <row r="288" spans="12:13" x14ac:dyDescent="0.3">
      <c r="L288" t="s">
        <v>831</v>
      </c>
      <c r="M288" t="str">
        <f t="shared" si="9"/>
        <v>NC</v>
      </c>
    </row>
    <row r="289" spans="12:13" x14ac:dyDescent="0.3">
      <c r="L289" t="s">
        <v>831</v>
      </c>
      <c r="M289" t="str">
        <f t="shared" si="9"/>
        <v>NC</v>
      </c>
    </row>
    <row r="290" spans="12:13" x14ac:dyDescent="0.3">
      <c r="L290" t="s">
        <v>831</v>
      </c>
      <c r="M290" t="str">
        <f t="shared" si="9"/>
        <v>NC</v>
      </c>
    </row>
    <row r="291" spans="12:13" x14ac:dyDescent="0.3">
      <c r="L291" t="s">
        <v>831</v>
      </c>
      <c r="M291" t="str">
        <f t="shared" si="9"/>
        <v>NC</v>
      </c>
    </row>
    <row r="292" spans="12:13" x14ac:dyDescent="0.3">
      <c r="L292" t="s">
        <v>831</v>
      </c>
      <c r="M292" t="str">
        <f t="shared" si="9"/>
        <v>NC</v>
      </c>
    </row>
    <row r="293" spans="12:13" x14ac:dyDescent="0.3">
      <c r="L293" t="s">
        <v>833</v>
      </c>
      <c r="M293" t="str">
        <f t="shared" si="9"/>
        <v>OH</v>
      </c>
    </row>
    <row r="294" spans="12:13" x14ac:dyDescent="0.3">
      <c r="L294" t="s">
        <v>833</v>
      </c>
      <c r="M294" t="str">
        <f t="shared" si="9"/>
        <v>OH</v>
      </c>
    </row>
    <row r="295" spans="12:13" x14ac:dyDescent="0.3">
      <c r="L295" t="s">
        <v>833</v>
      </c>
      <c r="M295" t="str">
        <f t="shared" si="9"/>
        <v>OH</v>
      </c>
    </row>
    <row r="296" spans="12:13" x14ac:dyDescent="0.3">
      <c r="L296" t="s">
        <v>835</v>
      </c>
      <c r="M296" t="str">
        <f t="shared" si="9"/>
        <v>OR</v>
      </c>
    </row>
    <row r="297" spans="12:13" x14ac:dyDescent="0.3">
      <c r="L297" t="s">
        <v>835</v>
      </c>
      <c r="M297" t="str">
        <f t="shared" si="9"/>
        <v>OR</v>
      </c>
    </row>
    <row r="298" spans="12:13" x14ac:dyDescent="0.3">
      <c r="L298" t="s">
        <v>835</v>
      </c>
      <c r="M298" t="str">
        <f t="shared" si="9"/>
        <v>OR</v>
      </c>
    </row>
    <row r="299" spans="12:13" x14ac:dyDescent="0.3">
      <c r="L299" t="s">
        <v>836</v>
      </c>
      <c r="M299" t="str">
        <f t="shared" si="9"/>
        <v>PA</v>
      </c>
    </row>
    <row r="300" spans="12:13" x14ac:dyDescent="0.3">
      <c r="L300" t="s">
        <v>836</v>
      </c>
      <c r="M300" t="str">
        <f t="shared" si="9"/>
        <v>PA</v>
      </c>
    </row>
    <row r="301" spans="12:13" x14ac:dyDescent="0.3">
      <c r="L301" t="s">
        <v>837</v>
      </c>
      <c r="M301" t="str">
        <f t="shared" si="9"/>
        <v>RI</v>
      </c>
    </row>
    <row r="302" spans="12:13" x14ac:dyDescent="0.3">
      <c r="L302" t="s">
        <v>837</v>
      </c>
      <c r="M302" t="str">
        <f t="shared" si="9"/>
        <v>RI</v>
      </c>
    </row>
    <row r="303" spans="12:13" x14ac:dyDescent="0.3">
      <c r="L303" t="s">
        <v>837</v>
      </c>
      <c r="M303" t="str">
        <f t="shared" si="9"/>
        <v>RI</v>
      </c>
    </row>
    <row r="304" spans="12:13" x14ac:dyDescent="0.3">
      <c r="L304" t="s">
        <v>837</v>
      </c>
      <c r="M304" t="str">
        <f t="shared" si="9"/>
        <v>RI</v>
      </c>
    </row>
    <row r="305" spans="12:13" x14ac:dyDescent="0.3">
      <c r="L305" t="s">
        <v>837</v>
      </c>
      <c r="M305" t="str">
        <f t="shared" si="9"/>
        <v>RI</v>
      </c>
    </row>
    <row r="306" spans="12:13" x14ac:dyDescent="0.3">
      <c r="L306" t="s">
        <v>838</v>
      </c>
      <c r="M306" t="str">
        <f t="shared" si="9"/>
        <v>SC</v>
      </c>
    </row>
    <row r="307" spans="12:13" x14ac:dyDescent="0.3">
      <c r="L307" t="s">
        <v>838</v>
      </c>
      <c r="M307" t="str">
        <f t="shared" si="9"/>
        <v>SC</v>
      </c>
    </row>
    <row r="308" spans="12:13" x14ac:dyDescent="0.3">
      <c r="L308" t="s">
        <v>838</v>
      </c>
      <c r="M308" t="str">
        <f t="shared" si="9"/>
        <v>SC</v>
      </c>
    </row>
    <row r="309" spans="12:13" x14ac:dyDescent="0.3">
      <c r="L309" t="s">
        <v>838</v>
      </c>
      <c r="M309" t="str">
        <f t="shared" si="9"/>
        <v>SC</v>
      </c>
    </row>
    <row r="310" spans="12:13" x14ac:dyDescent="0.3">
      <c r="L310" t="s">
        <v>838</v>
      </c>
      <c r="M310" t="str">
        <f t="shared" si="9"/>
        <v>SC</v>
      </c>
    </row>
    <row r="311" spans="12:13" x14ac:dyDescent="0.3">
      <c r="L311" t="s">
        <v>838</v>
      </c>
      <c r="M311" t="str">
        <f t="shared" si="9"/>
        <v>SC</v>
      </c>
    </row>
    <row r="312" spans="12:13" x14ac:dyDescent="0.3">
      <c r="L312" t="s">
        <v>838</v>
      </c>
      <c r="M312" t="str">
        <f t="shared" si="9"/>
        <v>SC</v>
      </c>
    </row>
    <row r="313" spans="12:13" x14ac:dyDescent="0.3">
      <c r="L313" t="s">
        <v>838</v>
      </c>
      <c r="M313" t="str">
        <f t="shared" si="9"/>
        <v>SC</v>
      </c>
    </row>
    <row r="314" spans="12:13" x14ac:dyDescent="0.3">
      <c r="L314" t="s">
        <v>838</v>
      </c>
      <c r="M314" t="str">
        <f t="shared" si="9"/>
        <v>SC</v>
      </c>
    </row>
    <row r="315" spans="12:13" x14ac:dyDescent="0.3">
      <c r="L315" t="s">
        <v>838</v>
      </c>
      <c r="M315" t="str">
        <f t="shared" si="9"/>
        <v>SC</v>
      </c>
    </row>
    <row r="316" spans="12:13" x14ac:dyDescent="0.3">
      <c r="L316" t="s">
        <v>838</v>
      </c>
      <c r="M316" t="str">
        <f t="shared" si="9"/>
        <v>SC</v>
      </c>
    </row>
    <row r="317" spans="12:13" x14ac:dyDescent="0.3">
      <c r="L317" t="s">
        <v>838</v>
      </c>
      <c r="M317" t="str">
        <f t="shared" si="9"/>
        <v>SC</v>
      </c>
    </row>
    <row r="318" spans="12:13" x14ac:dyDescent="0.3">
      <c r="L318" t="s">
        <v>838</v>
      </c>
      <c r="M318" t="str">
        <f t="shared" si="9"/>
        <v>SC</v>
      </c>
    </row>
    <row r="319" spans="12:13" x14ac:dyDescent="0.3">
      <c r="L319" t="s">
        <v>838</v>
      </c>
      <c r="M319" t="str">
        <f t="shared" si="9"/>
        <v>SC</v>
      </c>
    </row>
    <row r="320" spans="12:13" x14ac:dyDescent="0.3">
      <c r="L320" t="s">
        <v>838</v>
      </c>
      <c r="M320" t="str">
        <f t="shared" si="9"/>
        <v>SC</v>
      </c>
    </row>
    <row r="321" spans="12:13" x14ac:dyDescent="0.3">
      <c r="L321" t="s">
        <v>838</v>
      </c>
      <c r="M321" t="str">
        <f t="shared" si="9"/>
        <v>SC</v>
      </c>
    </row>
    <row r="322" spans="12:13" x14ac:dyDescent="0.3">
      <c r="L322" t="s">
        <v>840</v>
      </c>
      <c r="M322" t="str">
        <f t="shared" ref="M322:M385" si="10">VLOOKUP(L322, $I$1:$J$50, 2, FALSE)</f>
        <v>TN</v>
      </c>
    </row>
    <row r="323" spans="12:13" x14ac:dyDescent="0.3">
      <c r="L323" t="s">
        <v>840</v>
      </c>
      <c r="M323" t="str">
        <f t="shared" si="10"/>
        <v>TN</v>
      </c>
    </row>
    <row r="324" spans="12:13" x14ac:dyDescent="0.3">
      <c r="L324" t="s">
        <v>840</v>
      </c>
      <c r="M324" t="str">
        <f t="shared" si="10"/>
        <v>TN</v>
      </c>
    </row>
    <row r="325" spans="12:13" x14ac:dyDescent="0.3">
      <c r="L325" t="s">
        <v>840</v>
      </c>
      <c r="M325" t="str">
        <f t="shared" si="10"/>
        <v>TN</v>
      </c>
    </row>
    <row r="326" spans="12:13" x14ac:dyDescent="0.3">
      <c r="L326" t="s">
        <v>840</v>
      </c>
      <c r="M326" t="str">
        <f t="shared" si="10"/>
        <v>TN</v>
      </c>
    </row>
    <row r="327" spans="12:13" x14ac:dyDescent="0.3">
      <c r="L327" t="s">
        <v>840</v>
      </c>
      <c r="M327" t="str">
        <f t="shared" si="10"/>
        <v>TN</v>
      </c>
    </row>
    <row r="328" spans="12:13" x14ac:dyDescent="0.3">
      <c r="L328" t="s">
        <v>840</v>
      </c>
      <c r="M328" t="str">
        <f t="shared" si="10"/>
        <v>TN</v>
      </c>
    </row>
    <row r="329" spans="12:13" x14ac:dyDescent="0.3">
      <c r="L329" t="s">
        <v>840</v>
      </c>
      <c r="M329" t="str">
        <f t="shared" si="10"/>
        <v>TN</v>
      </c>
    </row>
    <row r="330" spans="12:13" x14ac:dyDescent="0.3">
      <c r="L330" t="s">
        <v>840</v>
      </c>
      <c r="M330" t="str">
        <f t="shared" si="10"/>
        <v>TN</v>
      </c>
    </row>
    <row r="331" spans="12:13" x14ac:dyDescent="0.3">
      <c r="L331" t="s">
        <v>840</v>
      </c>
      <c r="M331" t="str">
        <f t="shared" si="10"/>
        <v>TN</v>
      </c>
    </row>
    <row r="332" spans="12:13" x14ac:dyDescent="0.3">
      <c r="L332" t="s">
        <v>840</v>
      </c>
      <c r="M332" t="str">
        <f t="shared" si="10"/>
        <v>TN</v>
      </c>
    </row>
    <row r="333" spans="12:13" x14ac:dyDescent="0.3">
      <c r="L333" t="s">
        <v>840</v>
      </c>
      <c r="M333" t="str">
        <f t="shared" si="10"/>
        <v>TN</v>
      </c>
    </row>
    <row r="334" spans="12:13" x14ac:dyDescent="0.3">
      <c r="L334" t="s">
        <v>263</v>
      </c>
      <c r="M334" t="str">
        <f t="shared" si="10"/>
        <v>TX</v>
      </c>
    </row>
    <row r="335" spans="12:13" x14ac:dyDescent="0.3">
      <c r="L335" t="s">
        <v>263</v>
      </c>
      <c r="M335" t="str">
        <f t="shared" si="10"/>
        <v>TX</v>
      </c>
    </row>
    <row r="336" spans="12:13" x14ac:dyDescent="0.3">
      <c r="L336" t="s">
        <v>263</v>
      </c>
      <c r="M336" t="str">
        <f t="shared" si="10"/>
        <v>TX</v>
      </c>
    </row>
    <row r="337" spans="12:13" x14ac:dyDescent="0.3">
      <c r="L337" t="s">
        <v>263</v>
      </c>
      <c r="M337" t="str">
        <f t="shared" si="10"/>
        <v>TX</v>
      </c>
    </row>
    <row r="338" spans="12:13" x14ac:dyDescent="0.3">
      <c r="L338" t="s">
        <v>263</v>
      </c>
      <c r="M338" t="str">
        <f t="shared" si="10"/>
        <v>TX</v>
      </c>
    </row>
    <row r="339" spans="12:13" x14ac:dyDescent="0.3">
      <c r="L339" t="s">
        <v>263</v>
      </c>
      <c r="M339" t="str">
        <f t="shared" si="10"/>
        <v>TX</v>
      </c>
    </row>
    <row r="340" spans="12:13" x14ac:dyDescent="0.3">
      <c r="L340" t="s">
        <v>263</v>
      </c>
      <c r="M340" t="str">
        <f t="shared" si="10"/>
        <v>TX</v>
      </c>
    </row>
    <row r="341" spans="12:13" x14ac:dyDescent="0.3">
      <c r="L341" t="s">
        <v>263</v>
      </c>
      <c r="M341" t="str">
        <f t="shared" si="10"/>
        <v>TX</v>
      </c>
    </row>
    <row r="342" spans="12:13" x14ac:dyDescent="0.3">
      <c r="L342" t="s">
        <v>263</v>
      </c>
      <c r="M342" t="str">
        <f t="shared" si="10"/>
        <v>TX</v>
      </c>
    </row>
    <row r="343" spans="12:13" x14ac:dyDescent="0.3">
      <c r="L343" t="s">
        <v>263</v>
      </c>
      <c r="M343" t="str">
        <f t="shared" si="10"/>
        <v>TX</v>
      </c>
    </row>
    <row r="344" spans="12:13" x14ac:dyDescent="0.3">
      <c r="L344" t="s">
        <v>263</v>
      </c>
      <c r="M344" t="str">
        <f t="shared" si="10"/>
        <v>TX</v>
      </c>
    </row>
    <row r="345" spans="12:13" x14ac:dyDescent="0.3">
      <c r="L345" t="s">
        <v>263</v>
      </c>
      <c r="M345" t="str">
        <f t="shared" si="10"/>
        <v>TX</v>
      </c>
    </row>
    <row r="346" spans="12:13" x14ac:dyDescent="0.3">
      <c r="L346" t="s">
        <v>263</v>
      </c>
      <c r="M346" t="str">
        <f t="shared" si="10"/>
        <v>TX</v>
      </c>
    </row>
    <row r="347" spans="12:13" x14ac:dyDescent="0.3">
      <c r="L347" t="s">
        <v>263</v>
      </c>
      <c r="M347" t="str">
        <f t="shared" si="10"/>
        <v>TX</v>
      </c>
    </row>
    <row r="348" spans="12:13" x14ac:dyDescent="0.3">
      <c r="L348" t="s">
        <v>263</v>
      </c>
      <c r="M348" t="str">
        <f t="shared" si="10"/>
        <v>TX</v>
      </c>
    </row>
    <row r="349" spans="12:13" x14ac:dyDescent="0.3">
      <c r="L349" t="s">
        <v>263</v>
      </c>
      <c r="M349" t="str">
        <f t="shared" si="10"/>
        <v>TX</v>
      </c>
    </row>
    <row r="350" spans="12:13" x14ac:dyDescent="0.3">
      <c r="L350" t="s">
        <v>263</v>
      </c>
      <c r="M350" t="str">
        <f t="shared" si="10"/>
        <v>TX</v>
      </c>
    </row>
    <row r="351" spans="12:13" x14ac:dyDescent="0.3">
      <c r="L351" t="s">
        <v>263</v>
      </c>
      <c r="M351" t="str">
        <f t="shared" si="10"/>
        <v>TX</v>
      </c>
    </row>
    <row r="352" spans="12:13" x14ac:dyDescent="0.3">
      <c r="L352" t="s">
        <v>263</v>
      </c>
      <c r="M352" t="str">
        <f t="shared" si="10"/>
        <v>TX</v>
      </c>
    </row>
    <row r="353" spans="12:13" x14ac:dyDescent="0.3">
      <c r="L353" t="s">
        <v>263</v>
      </c>
      <c r="M353" t="str">
        <f t="shared" si="10"/>
        <v>TX</v>
      </c>
    </row>
    <row r="354" spans="12:13" x14ac:dyDescent="0.3">
      <c r="L354" t="s">
        <v>263</v>
      </c>
      <c r="M354" t="str">
        <f t="shared" si="10"/>
        <v>TX</v>
      </c>
    </row>
    <row r="355" spans="12:13" x14ac:dyDescent="0.3">
      <c r="L355" t="s">
        <v>263</v>
      </c>
      <c r="M355" t="str">
        <f t="shared" si="10"/>
        <v>TX</v>
      </c>
    </row>
    <row r="356" spans="12:13" x14ac:dyDescent="0.3">
      <c r="L356" t="s">
        <v>263</v>
      </c>
      <c r="M356" t="str">
        <f t="shared" si="10"/>
        <v>TX</v>
      </c>
    </row>
    <row r="357" spans="12:13" x14ac:dyDescent="0.3">
      <c r="L357" t="s">
        <v>263</v>
      </c>
      <c r="M357" t="str">
        <f t="shared" si="10"/>
        <v>TX</v>
      </c>
    </row>
    <row r="358" spans="12:13" x14ac:dyDescent="0.3">
      <c r="L358" t="s">
        <v>263</v>
      </c>
      <c r="M358" t="str">
        <f t="shared" si="10"/>
        <v>TX</v>
      </c>
    </row>
    <row r="359" spans="12:13" x14ac:dyDescent="0.3">
      <c r="L359" t="s">
        <v>263</v>
      </c>
      <c r="M359" t="str">
        <f t="shared" si="10"/>
        <v>TX</v>
      </c>
    </row>
    <row r="360" spans="12:13" x14ac:dyDescent="0.3">
      <c r="L360" t="s">
        <v>263</v>
      </c>
      <c r="M360" t="str">
        <f t="shared" si="10"/>
        <v>TX</v>
      </c>
    </row>
    <row r="361" spans="12:13" x14ac:dyDescent="0.3">
      <c r="L361" t="s">
        <v>263</v>
      </c>
      <c r="M361" t="str">
        <f t="shared" si="10"/>
        <v>TX</v>
      </c>
    </row>
    <row r="362" spans="12:13" x14ac:dyDescent="0.3">
      <c r="L362" t="s">
        <v>263</v>
      </c>
      <c r="M362" t="str">
        <f t="shared" si="10"/>
        <v>TX</v>
      </c>
    </row>
    <row r="363" spans="12:13" x14ac:dyDescent="0.3">
      <c r="L363" t="s">
        <v>263</v>
      </c>
      <c r="M363" t="str">
        <f t="shared" si="10"/>
        <v>TX</v>
      </c>
    </row>
    <row r="364" spans="12:13" x14ac:dyDescent="0.3">
      <c r="L364" t="s">
        <v>263</v>
      </c>
      <c r="M364" t="str">
        <f t="shared" si="10"/>
        <v>TX</v>
      </c>
    </row>
    <row r="365" spans="12:13" x14ac:dyDescent="0.3">
      <c r="L365" t="s">
        <v>263</v>
      </c>
      <c r="M365" t="str">
        <f t="shared" si="10"/>
        <v>TX</v>
      </c>
    </row>
    <row r="366" spans="12:13" x14ac:dyDescent="0.3">
      <c r="L366" t="s">
        <v>845</v>
      </c>
      <c r="M366" t="str">
        <f t="shared" si="10"/>
        <v>VA</v>
      </c>
    </row>
    <row r="367" spans="12:13" x14ac:dyDescent="0.3">
      <c r="L367" t="s">
        <v>845</v>
      </c>
      <c r="M367" t="str">
        <f t="shared" si="10"/>
        <v>VA</v>
      </c>
    </row>
    <row r="368" spans="12:13" x14ac:dyDescent="0.3">
      <c r="L368" t="s">
        <v>845</v>
      </c>
      <c r="M368" t="str">
        <f t="shared" si="10"/>
        <v>VA</v>
      </c>
    </row>
    <row r="369" spans="12:13" x14ac:dyDescent="0.3">
      <c r="L369" t="s">
        <v>845</v>
      </c>
      <c r="M369" t="str">
        <f t="shared" si="10"/>
        <v>VA</v>
      </c>
    </row>
    <row r="370" spans="12:13" x14ac:dyDescent="0.3">
      <c r="L370" t="s">
        <v>845</v>
      </c>
      <c r="M370" t="str">
        <f t="shared" si="10"/>
        <v>VA</v>
      </c>
    </row>
    <row r="371" spans="12:13" x14ac:dyDescent="0.3">
      <c r="L371" t="s">
        <v>845</v>
      </c>
      <c r="M371" t="str">
        <f t="shared" si="10"/>
        <v>VA</v>
      </c>
    </row>
    <row r="372" spans="12:13" x14ac:dyDescent="0.3">
      <c r="L372" t="s">
        <v>845</v>
      </c>
      <c r="M372" t="str">
        <f t="shared" si="10"/>
        <v>VA</v>
      </c>
    </row>
    <row r="373" spans="12:13" x14ac:dyDescent="0.3">
      <c r="L373" t="s">
        <v>845</v>
      </c>
      <c r="M373" t="str">
        <f t="shared" si="10"/>
        <v>VA</v>
      </c>
    </row>
    <row r="374" spans="12:13" x14ac:dyDescent="0.3">
      <c r="L374" t="s">
        <v>845</v>
      </c>
      <c r="M374" t="str">
        <f t="shared" si="10"/>
        <v>VA</v>
      </c>
    </row>
    <row r="375" spans="12:13" x14ac:dyDescent="0.3">
      <c r="L375" t="s">
        <v>845</v>
      </c>
      <c r="M375" t="str">
        <f t="shared" si="10"/>
        <v>VA</v>
      </c>
    </row>
    <row r="376" spans="12:13" x14ac:dyDescent="0.3">
      <c r="L376" t="s">
        <v>845</v>
      </c>
      <c r="M376" t="str">
        <f t="shared" si="10"/>
        <v>VA</v>
      </c>
    </row>
    <row r="377" spans="12:13" x14ac:dyDescent="0.3">
      <c r="L377" t="s">
        <v>845</v>
      </c>
      <c r="M377" t="str">
        <f t="shared" si="10"/>
        <v>VA</v>
      </c>
    </row>
    <row r="378" spans="12:13" x14ac:dyDescent="0.3">
      <c r="L378" t="s">
        <v>845</v>
      </c>
      <c r="M378" t="str">
        <f t="shared" si="10"/>
        <v>VA</v>
      </c>
    </row>
    <row r="379" spans="12:13" x14ac:dyDescent="0.3">
      <c r="L379" t="s">
        <v>846</v>
      </c>
      <c r="M379" t="str">
        <f t="shared" si="10"/>
        <v>WA</v>
      </c>
    </row>
    <row r="380" spans="12:13" x14ac:dyDescent="0.3">
      <c r="L380" t="s">
        <v>846</v>
      </c>
      <c r="M380" t="str">
        <f t="shared" si="10"/>
        <v>WA</v>
      </c>
    </row>
    <row r="381" spans="12:13" x14ac:dyDescent="0.3">
      <c r="L381" t="s">
        <v>846</v>
      </c>
      <c r="M381" t="str">
        <f t="shared" si="10"/>
        <v>WA</v>
      </c>
    </row>
    <row r="382" spans="12:13" x14ac:dyDescent="0.3">
      <c r="L382" t="s">
        <v>846</v>
      </c>
      <c r="M382" t="str">
        <f t="shared" si="10"/>
        <v>WA</v>
      </c>
    </row>
    <row r="383" spans="12:13" x14ac:dyDescent="0.3">
      <c r="L383" t="s">
        <v>846</v>
      </c>
      <c r="M383" t="str">
        <f t="shared" si="10"/>
        <v>WA</v>
      </c>
    </row>
    <row r="384" spans="12:13" x14ac:dyDescent="0.3">
      <c r="L384" t="s">
        <v>846</v>
      </c>
      <c r="M384" t="str">
        <f t="shared" si="10"/>
        <v>WA</v>
      </c>
    </row>
    <row r="385" spans="12:13" x14ac:dyDescent="0.3">
      <c r="L385" t="s">
        <v>846</v>
      </c>
      <c r="M385" t="str">
        <f t="shared" si="10"/>
        <v>WA</v>
      </c>
    </row>
    <row r="386" spans="12:13" x14ac:dyDescent="0.3">
      <c r="L386" t="s">
        <v>846</v>
      </c>
      <c r="M386" t="str">
        <f t="shared" ref="M386:M394" si="11">VLOOKUP(L386, $I$1:$J$50, 2, FALSE)</f>
        <v>WA</v>
      </c>
    </row>
    <row r="387" spans="12:13" x14ac:dyDescent="0.3">
      <c r="L387" t="s">
        <v>846</v>
      </c>
      <c r="M387" t="str">
        <f t="shared" si="11"/>
        <v>WA</v>
      </c>
    </row>
    <row r="388" spans="12:13" x14ac:dyDescent="0.3">
      <c r="L388" t="s">
        <v>846</v>
      </c>
      <c r="M388" t="str">
        <f t="shared" si="11"/>
        <v>WA</v>
      </c>
    </row>
    <row r="389" spans="12:13" x14ac:dyDescent="0.3">
      <c r="L389" t="s">
        <v>846</v>
      </c>
      <c r="M389" t="str">
        <f t="shared" si="11"/>
        <v>WA</v>
      </c>
    </row>
    <row r="390" spans="12:13" x14ac:dyDescent="0.3">
      <c r="L390" t="s">
        <v>846</v>
      </c>
      <c r="M390" t="str">
        <f t="shared" si="11"/>
        <v>WA</v>
      </c>
    </row>
    <row r="391" spans="12:13" x14ac:dyDescent="0.3">
      <c r="L391" t="s">
        <v>846</v>
      </c>
      <c r="M391" t="str">
        <f t="shared" si="11"/>
        <v>WA</v>
      </c>
    </row>
    <row r="392" spans="12:13" x14ac:dyDescent="0.3">
      <c r="L392" t="s">
        <v>846</v>
      </c>
      <c r="M392" t="str">
        <f t="shared" si="11"/>
        <v>WA</v>
      </c>
    </row>
    <row r="393" spans="12:13" x14ac:dyDescent="0.3">
      <c r="L393" t="s">
        <v>846</v>
      </c>
      <c r="M393" t="str">
        <f t="shared" si="11"/>
        <v>WA</v>
      </c>
    </row>
    <row r="394" spans="12:13" x14ac:dyDescent="0.3">
      <c r="L394" t="s">
        <v>846</v>
      </c>
      <c r="M394" t="str">
        <f t="shared" si="11"/>
        <v>WA</v>
      </c>
    </row>
  </sheetData>
  <sortState xmlns:xlrd2="http://schemas.microsoft.com/office/spreadsheetml/2017/richdata2" ref="L1:L395">
    <sortCondition ref="L1:L395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5801-2B55-4CC3-9C49-7E5FD5C3AEA0}">
  <dimension ref="A1:S132"/>
  <sheetViews>
    <sheetView zoomScale="90" zoomScaleNormal="90" workbookViewId="0">
      <selection activeCell="F29" sqref="F29"/>
    </sheetView>
  </sheetViews>
  <sheetFormatPr defaultRowHeight="14.4" x14ac:dyDescent="0.3"/>
  <cols>
    <col min="1" max="1" width="4.33203125" customWidth="1"/>
    <col min="2" max="2" width="40.109375" customWidth="1"/>
    <col min="3" max="3" width="19.33203125" customWidth="1"/>
    <col min="4" max="4" width="7.44140625" customWidth="1"/>
    <col min="5" max="5" width="29.5546875" customWidth="1"/>
    <col min="6" max="7" width="16" style="1" customWidth="1"/>
    <col min="8" max="8" width="26" style="1" bestFit="1" customWidth="1"/>
    <col min="9" max="9" width="10.109375" style="1" customWidth="1"/>
    <col min="10" max="10" width="11.6640625" style="1" customWidth="1"/>
    <col min="11" max="11" width="19.88671875" style="1" bestFit="1" customWidth="1"/>
    <col min="12" max="12" width="14.44140625" style="1" bestFit="1" customWidth="1"/>
    <col min="13" max="13" width="6.33203125" style="1" customWidth="1"/>
    <col min="14" max="14" width="11.109375" style="1" customWidth="1"/>
    <col min="15" max="15" width="15.44140625" style="1" customWidth="1"/>
    <col min="16" max="17" width="20.5546875" customWidth="1"/>
    <col min="18" max="18" width="152" customWidth="1"/>
    <col min="19" max="19" width="26.33203125" customWidth="1"/>
    <col min="20" max="20" width="14.88671875" customWidth="1"/>
    <col min="21" max="21" width="18.5546875" customWidth="1"/>
    <col min="22" max="22" width="20.5546875" customWidth="1"/>
    <col min="23" max="23" width="2.44140625" customWidth="1"/>
  </cols>
  <sheetData>
    <row r="1" spans="1:19" ht="23.4" x14ac:dyDescent="0.45">
      <c r="A1" s="61"/>
      <c r="B1" s="121" t="s">
        <v>851</v>
      </c>
      <c r="C1" s="122"/>
      <c r="D1" s="122"/>
      <c r="E1" s="122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2"/>
      <c r="Q1" s="122"/>
      <c r="R1" s="122"/>
      <c r="S1" s="122"/>
    </row>
    <row r="2" spans="1:19" ht="15.6" x14ac:dyDescent="0.3">
      <c r="A2" s="61"/>
      <c r="B2" s="124"/>
      <c r="C2" s="125"/>
      <c r="D2" s="125"/>
      <c r="E2" s="486" t="s">
        <v>852</v>
      </c>
      <c r="F2" s="486"/>
      <c r="G2" s="6"/>
      <c r="H2" s="486" t="s">
        <v>457</v>
      </c>
      <c r="I2" s="486"/>
      <c r="J2" s="6"/>
      <c r="K2" s="126"/>
      <c r="L2" s="126"/>
      <c r="M2" s="126"/>
      <c r="N2" s="126"/>
      <c r="O2" s="127"/>
      <c r="P2" s="125"/>
      <c r="Q2" s="125"/>
      <c r="R2" s="125"/>
      <c r="S2" s="125"/>
    </row>
    <row r="3" spans="1:19" ht="7.5" customHeight="1" x14ac:dyDescent="0.3">
      <c r="A3" s="62"/>
      <c r="B3" s="62"/>
      <c r="C3" s="62"/>
      <c r="D3" s="62"/>
      <c r="E3" s="62"/>
      <c r="F3" s="63"/>
      <c r="G3" s="6"/>
      <c r="H3" s="62"/>
      <c r="I3" s="63"/>
      <c r="J3" s="6"/>
      <c r="K3" s="6"/>
      <c r="L3" s="6"/>
      <c r="M3" s="6"/>
      <c r="N3" s="6"/>
      <c r="O3" s="63"/>
      <c r="P3" s="62"/>
      <c r="Q3" s="62"/>
      <c r="R3" s="62"/>
      <c r="S3" s="62"/>
    </row>
    <row r="4" spans="1:19" ht="15.6" x14ac:dyDescent="0.3">
      <c r="A4" s="62"/>
      <c r="B4" s="64" t="s">
        <v>458</v>
      </c>
      <c r="C4" s="128">
        <f>F15</f>
        <v>0</v>
      </c>
      <c r="D4" s="62"/>
      <c r="E4" s="64" t="s">
        <v>459</v>
      </c>
      <c r="F4" s="129">
        <f>'Deal Tracker'!C175</f>
        <v>15</v>
      </c>
      <c r="G4" s="6"/>
      <c r="H4" s="64" t="s">
        <v>459</v>
      </c>
      <c r="I4" s="129">
        <f>'Deal Tracker'!C174</f>
        <v>94</v>
      </c>
      <c r="J4" s="6"/>
      <c r="K4" s="6"/>
      <c r="L4" s="6"/>
      <c r="M4" s="6"/>
      <c r="N4" s="6"/>
      <c r="O4" s="63"/>
      <c r="P4" s="62"/>
      <c r="Q4" s="62"/>
      <c r="R4" s="62"/>
      <c r="S4" s="62"/>
    </row>
    <row r="5" spans="1:19" ht="15.6" x14ac:dyDescent="0.3">
      <c r="A5" s="62"/>
      <c r="B5" s="64" t="s">
        <v>461</v>
      </c>
      <c r="C5" s="128">
        <f>F23</f>
        <v>125000000</v>
      </c>
      <c r="D5" s="62"/>
      <c r="E5" s="64" t="s">
        <v>443</v>
      </c>
      <c r="F5" s="129">
        <f>'Deal Tracker'!B175</f>
        <v>12</v>
      </c>
      <c r="G5" s="53">
        <f>IFERROR(F5/$F$4,"n/a")</f>
        <v>0.8</v>
      </c>
      <c r="H5" s="64" t="s">
        <v>443</v>
      </c>
      <c r="I5" s="129">
        <f>'Deal Tracker'!B174</f>
        <v>62</v>
      </c>
      <c r="J5" s="53">
        <f>I5/I4</f>
        <v>0.65957446808510634</v>
      </c>
      <c r="K5" s="6"/>
      <c r="L5" s="6"/>
      <c r="M5" s="6"/>
      <c r="N5" s="6"/>
      <c r="O5" s="63"/>
      <c r="P5" s="62"/>
      <c r="Q5" s="62"/>
      <c r="R5" s="62"/>
      <c r="S5" s="62"/>
    </row>
    <row r="6" spans="1:19" ht="15.6" x14ac:dyDescent="0.3">
      <c r="A6" s="62"/>
      <c r="B6" s="64" t="s">
        <v>463</v>
      </c>
      <c r="C6" s="130">
        <f>F39</f>
        <v>244000000</v>
      </c>
      <c r="D6" s="62"/>
      <c r="E6" s="64" t="s">
        <v>462</v>
      </c>
      <c r="F6" s="129">
        <v>3</v>
      </c>
      <c r="G6" s="6"/>
      <c r="H6" s="64" t="s">
        <v>462</v>
      </c>
      <c r="I6" s="129">
        <v>1</v>
      </c>
      <c r="J6" s="6"/>
      <c r="K6" s="6"/>
      <c r="L6" s="6"/>
      <c r="M6" s="6"/>
      <c r="N6" s="6"/>
      <c r="O6" s="63"/>
      <c r="P6" s="62"/>
      <c r="Q6" s="62"/>
      <c r="R6" s="62"/>
      <c r="S6" s="62"/>
    </row>
    <row r="7" spans="1:19" ht="15.6" x14ac:dyDescent="0.3">
      <c r="A7" s="62"/>
      <c r="B7" s="184" t="s">
        <v>148</v>
      </c>
      <c r="C7" s="130">
        <f>'Deal Tracker'!M68</f>
        <v>184000000</v>
      </c>
      <c r="D7" s="62"/>
      <c r="E7" s="64" t="s">
        <v>464</v>
      </c>
      <c r="F7" s="129">
        <f>C15</f>
        <v>0</v>
      </c>
      <c r="G7" s="6"/>
      <c r="H7" s="64" t="s">
        <v>464</v>
      </c>
      <c r="I7" s="129">
        <f>C15</f>
        <v>0</v>
      </c>
      <c r="J7" s="6"/>
      <c r="K7" s="6"/>
      <c r="L7" s="67"/>
      <c r="M7" s="6"/>
      <c r="N7" s="6"/>
      <c r="O7" s="63"/>
      <c r="P7" s="62"/>
      <c r="Q7" s="62"/>
      <c r="R7" s="62"/>
      <c r="S7" s="62"/>
    </row>
    <row r="8" spans="1:19" ht="16.2" thickBot="1" x14ac:dyDescent="0.35">
      <c r="A8" s="62"/>
      <c r="B8" s="62"/>
      <c r="C8" s="131">
        <f>SUM(C4:C7)</f>
        <v>553000000</v>
      </c>
      <c r="D8" s="62"/>
      <c r="E8" s="64" t="s">
        <v>465</v>
      </c>
      <c r="F8" s="129">
        <v>0</v>
      </c>
      <c r="G8" s="6"/>
      <c r="H8" s="64" t="s">
        <v>465</v>
      </c>
      <c r="I8" s="129">
        <f>C15</f>
        <v>0</v>
      </c>
      <c r="J8" s="6"/>
      <c r="K8" s="6"/>
      <c r="L8" s="6"/>
      <c r="M8" s="6"/>
      <c r="N8" s="6"/>
      <c r="O8" s="63"/>
      <c r="P8" s="62"/>
      <c r="Q8" s="62"/>
      <c r="R8" s="62"/>
      <c r="S8" s="62"/>
    </row>
    <row r="9" spans="1:19" ht="16.2" thickTop="1" x14ac:dyDescent="0.3">
      <c r="A9" s="62"/>
      <c r="B9" s="62"/>
      <c r="C9" s="62"/>
      <c r="D9" s="62"/>
      <c r="E9" s="64" t="s">
        <v>48</v>
      </c>
      <c r="F9" s="129">
        <f>'Deal Tracker'!J175</f>
        <v>3</v>
      </c>
      <c r="G9" s="53">
        <f>IFERROR(F9/$F$4,"n/a")</f>
        <v>0.2</v>
      </c>
      <c r="H9" s="64" t="s">
        <v>48</v>
      </c>
      <c r="I9" s="129">
        <f>'Deal Tracker'!J174</f>
        <v>50</v>
      </c>
      <c r="J9" s="68">
        <f>I9/I4</f>
        <v>0.53191489361702127</v>
      </c>
      <c r="K9" s="6"/>
      <c r="L9" s="6"/>
      <c r="M9" s="6"/>
      <c r="N9" s="6"/>
      <c r="O9" s="6"/>
      <c r="P9" s="62"/>
      <c r="Q9" s="62"/>
      <c r="R9" s="62"/>
      <c r="S9" s="62"/>
    </row>
    <row r="10" spans="1:19" ht="15.6" x14ac:dyDescent="0.3">
      <c r="A10" s="62"/>
      <c r="B10" s="64" t="s">
        <v>853</v>
      </c>
      <c r="C10" s="128">
        <f>'Deal Tracker'!M164</f>
        <v>751450000</v>
      </c>
      <c r="D10" s="62"/>
      <c r="E10" s="64" t="s">
        <v>466</v>
      </c>
      <c r="F10" s="129">
        <f>'Deal Tracker'!P175</f>
        <v>11</v>
      </c>
      <c r="G10" s="53">
        <f>IFERROR(F10/$F$4,"n/a")</f>
        <v>0.73333333333333328</v>
      </c>
      <c r="H10" s="64" t="s">
        <v>466</v>
      </c>
      <c r="I10" s="129">
        <f>'Deal Tracker'!P174</f>
        <v>40</v>
      </c>
      <c r="J10" s="68">
        <f>I10/I4</f>
        <v>0.42553191489361702</v>
      </c>
      <c r="K10" s="6"/>
      <c r="L10" s="6"/>
      <c r="M10" s="6"/>
      <c r="N10" s="6"/>
      <c r="O10" s="6"/>
      <c r="P10" s="62"/>
      <c r="Q10" s="62"/>
      <c r="R10" s="62"/>
      <c r="S10" s="62"/>
    </row>
    <row r="11" spans="1:19" x14ac:dyDescent="0.3">
      <c r="A11" s="62"/>
      <c r="B11" s="99"/>
      <c r="C11" s="99"/>
      <c r="D11" s="99"/>
      <c r="E11" s="99"/>
      <c r="F11" s="99"/>
      <c r="G11"/>
      <c r="H11" s="6"/>
      <c r="I11" s="6"/>
      <c r="J11" s="6"/>
      <c r="K11" s="6"/>
      <c r="L11" s="6"/>
      <c r="M11" s="6"/>
      <c r="N11" s="6"/>
      <c r="O11" s="6"/>
      <c r="P11" s="62"/>
      <c r="Q11" s="62"/>
      <c r="R11" s="62"/>
      <c r="S11" s="62"/>
    </row>
    <row r="12" spans="1:19" ht="15.75" customHeight="1" x14ac:dyDescent="0.3">
      <c r="A12" s="62"/>
      <c r="B12" s="64" t="s">
        <v>0</v>
      </c>
      <c r="C12" s="64" t="s">
        <v>1</v>
      </c>
      <c r="D12" s="64" t="s">
        <v>2</v>
      </c>
      <c r="E12" s="64" t="s">
        <v>3</v>
      </c>
      <c r="F12" s="64" t="s">
        <v>4</v>
      </c>
      <c r="G12" s="64" t="s">
        <v>5</v>
      </c>
      <c r="H12" s="64" t="s">
        <v>6</v>
      </c>
      <c r="I12" s="64" t="s">
        <v>7</v>
      </c>
      <c r="J12" s="64" t="s">
        <v>8</v>
      </c>
      <c r="K12" s="64" t="s">
        <v>9</v>
      </c>
      <c r="L12" s="64" t="s">
        <v>854</v>
      </c>
      <c r="M12" s="64" t="s">
        <v>11</v>
      </c>
      <c r="N12" s="64" t="s">
        <v>12</v>
      </c>
      <c r="O12" s="487" t="s">
        <v>13</v>
      </c>
      <c r="P12" s="488"/>
      <c r="Q12" s="488"/>
      <c r="R12" s="488"/>
    </row>
    <row r="13" spans="1:19" ht="15.6" x14ac:dyDescent="0.3">
      <c r="A13" s="62"/>
      <c r="B13" s="132" t="s">
        <v>458</v>
      </c>
      <c r="C13" s="133"/>
      <c r="D13" s="133"/>
      <c r="E13" s="133"/>
      <c r="F13" s="134"/>
      <c r="G13" s="134"/>
      <c r="H13" s="134"/>
      <c r="I13" s="134"/>
      <c r="J13" s="134"/>
      <c r="K13" s="133"/>
      <c r="L13" s="133"/>
      <c r="M13" s="134"/>
      <c r="N13" s="133"/>
      <c r="O13" s="134" t="s">
        <v>855</v>
      </c>
      <c r="P13" s="134" t="s">
        <v>491</v>
      </c>
      <c r="Q13" s="134" t="s">
        <v>856</v>
      </c>
      <c r="R13" s="134" t="s">
        <v>857</v>
      </c>
    </row>
    <row r="14" spans="1:19" ht="16.2" thickBot="1" x14ac:dyDescent="0.35">
      <c r="A14" s="62"/>
      <c r="B14" s="135"/>
      <c r="C14" s="135"/>
      <c r="D14" s="135"/>
      <c r="E14" s="135"/>
      <c r="F14" s="136"/>
      <c r="G14" s="137"/>
      <c r="H14" s="137"/>
      <c r="I14" s="138"/>
      <c r="J14" s="137"/>
      <c r="K14" s="135"/>
      <c r="L14" s="137"/>
      <c r="M14" s="139"/>
      <c r="N14" s="140"/>
      <c r="O14" s="141"/>
      <c r="P14" s="141"/>
      <c r="Q14" s="141"/>
      <c r="R14" s="140"/>
    </row>
    <row r="15" spans="1:19" ht="16.2" thickTop="1" x14ac:dyDescent="0.3">
      <c r="A15" s="62"/>
      <c r="B15" s="142" t="s">
        <v>520</v>
      </c>
      <c r="C15" s="143">
        <f>COUNTA(B14:B14)</f>
        <v>0</v>
      </c>
      <c r="D15" s="142"/>
      <c r="E15" s="142"/>
      <c r="F15" s="144">
        <f>SUM(F14:F14)</f>
        <v>0</v>
      </c>
      <c r="G15" s="143"/>
      <c r="H15" s="145">
        <f>SUM(H14:H14)</f>
        <v>0</v>
      </c>
      <c r="I15" s="146"/>
      <c r="J15" s="143"/>
      <c r="K15" s="142"/>
      <c r="L15" s="142"/>
      <c r="M15" s="147">
        <f>SUM(M14:M14)</f>
        <v>0</v>
      </c>
      <c r="N15" s="148"/>
      <c r="O15" s="148"/>
      <c r="P15" s="148"/>
      <c r="Q15" s="148"/>
      <c r="R15" s="148"/>
    </row>
    <row r="16" spans="1:19" x14ac:dyDescent="0.3">
      <c r="B16" s="7"/>
      <c r="C16" s="7"/>
      <c r="D16" s="7"/>
      <c r="E16" s="7"/>
      <c r="F16" s="6"/>
      <c r="G16" s="6"/>
      <c r="H16" s="6"/>
      <c r="I16" s="6"/>
      <c r="J16" s="6"/>
      <c r="K16" s="7"/>
      <c r="L16" s="7"/>
      <c r="M16" s="100"/>
      <c r="N16"/>
      <c r="O16"/>
    </row>
    <row r="17" spans="1:18" ht="15.6" x14ac:dyDescent="0.3">
      <c r="A17" s="62"/>
      <c r="B17" s="132" t="s">
        <v>461</v>
      </c>
      <c r="C17" s="133"/>
      <c r="D17" s="133"/>
      <c r="E17" s="133"/>
      <c r="F17" s="134"/>
      <c r="G17" s="134"/>
      <c r="H17" s="134"/>
      <c r="I17" s="134"/>
      <c r="J17" s="134"/>
      <c r="K17" s="133"/>
      <c r="L17" s="133"/>
      <c r="M17" s="149"/>
      <c r="N17" s="133"/>
      <c r="O17" s="133"/>
      <c r="P17" s="133"/>
      <c r="Q17" s="133"/>
      <c r="R17" s="133"/>
    </row>
    <row r="18" spans="1:18" ht="15.6" x14ac:dyDescent="0.3">
      <c r="A18" s="62"/>
      <c r="B18" s="135" t="s">
        <v>92</v>
      </c>
      <c r="C18" s="135" t="s">
        <v>670</v>
      </c>
      <c r="D18" s="135" t="s">
        <v>94</v>
      </c>
      <c r="E18" s="135" t="s">
        <v>96</v>
      </c>
      <c r="F18" s="136">
        <v>62000000</v>
      </c>
      <c r="G18" s="137" t="s">
        <v>503</v>
      </c>
      <c r="H18" s="150">
        <f>550+85</f>
        <v>635</v>
      </c>
      <c r="I18" s="138" t="s">
        <v>671</v>
      </c>
      <c r="J18" s="137" t="s">
        <v>48</v>
      </c>
      <c r="K18" s="137" t="s">
        <v>100</v>
      </c>
      <c r="L18" s="138">
        <v>0.25</v>
      </c>
      <c r="M18" s="139">
        <v>55.16</v>
      </c>
      <c r="N18" s="140"/>
      <c r="O18" s="140"/>
      <c r="P18" s="140"/>
      <c r="Q18" s="140"/>
      <c r="R18" s="140"/>
    </row>
    <row r="19" spans="1:18" ht="15.6" x14ac:dyDescent="0.3">
      <c r="A19" s="62"/>
      <c r="B19" s="135" t="s">
        <v>98</v>
      </c>
      <c r="C19" s="135" t="s">
        <v>99</v>
      </c>
      <c r="D19" s="135" t="s">
        <v>75</v>
      </c>
      <c r="E19" s="135" t="s">
        <v>96</v>
      </c>
      <c r="F19" s="136">
        <v>20000000</v>
      </c>
      <c r="G19" s="137" t="s">
        <v>503</v>
      </c>
      <c r="H19" s="151">
        <f>130+70</f>
        <v>200</v>
      </c>
      <c r="I19" s="138">
        <v>0.98</v>
      </c>
      <c r="J19" s="137" t="s">
        <v>32</v>
      </c>
      <c r="K19" s="137" t="s">
        <v>100</v>
      </c>
      <c r="L19" s="138">
        <v>0.26</v>
      </c>
      <c r="M19" s="139"/>
      <c r="N19" s="140"/>
      <c r="O19" s="140"/>
      <c r="P19" s="140"/>
      <c r="Q19" s="140"/>
      <c r="R19" s="140"/>
    </row>
    <row r="20" spans="1:18" ht="15.6" x14ac:dyDescent="0.3">
      <c r="A20" s="62"/>
      <c r="B20" s="135" t="s">
        <v>676</v>
      </c>
      <c r="C20" s="135" t="s">
        <v>677</v>
      </c>
      <c r="D20" s="135" t="s">
        <v>31</v>
      </c>
      <c r="E20" s="135" t="s">
        <v>96</v>
      </c>
      <c r="F20" s="136">
        <v>17000000</v>
      </c>
      <c r="G20" s="137" t="s">
        <v>503</v>
      </c>
      <c r="H20" s="151">
        <v>270</v>
      </c>
      <c r="I20" s="138">
        <v>0.95</v>
      </c>
      <c r="J20" s="137" t="s">
        <v>32</v>
      </c>
      <c r="K20" s="137" t="s">
        <v>100</v>
      </c>
      <c r="L20" s="138">
        <v>0.25</v>
      </c>
      <c r="M20" s="139"/>
      <c r="N20" s="140"/>
      <c r="O20" s="140"/>
      <c r="P20" s="140"/>
      <c r="Q20" s="140"/>
      <c r="R20" s="140"/>
    </row>
    <row r="21" spans="1:18" ht="15.6" x14ac:dyDescent="0.3">
      <c r="A21" s="62"/>
      <c r="B21" s="135" t="s">
        <v>108</v>
      </c>
      <c r="C21" s="135" t="s">
        <v>109</v>
      </c>
      <c r="D21" s="135" t="s">
        <v>31</v>
      </c>
      <c r="E21" s="152" t="s">
        <v>858</v>
      </c>
      <c r="F21" s="136">
        <v>26000000</v>
      </c>
      <c r="G21" s="137" t="s">
        <v>503</v>
      </c>
      <c r="H21" s="150">
        <v>325</v>
      </c>
      <c r="I21" s="138" t="s">
        <v>671</v>
      </c>
      <c r="J21" s="137" t="s">
        <v>48</v>
      </c>
      <c r="K21" s="137" t="s">
        <v>100</v>
      </c>
      <c r="L21" s="138">
        <v>0.24</v>
      </c>
      <c r="M21" s="139">
        <v>2.71</v>
      </c>
      <c r="N21" s="140" t="s">
        <v>859</v>
      </c>
      <c r="O21" s="140"/>
      <c r="P21" s="140"/>
      <c r="Q21" s="140"/>
      <c r="R21" s="140"/>
    </row>
    <row r="22" spans="1:18" ht="16.2" thickBot="1" x14ac:dyDescent="0.35">
      <c r="A22" s="62"/>
      <c r="B22" s="135"/>
      <c r="C22" s="135"/>
      <c r="D22" s="135"/>
      <c r="E22" s="152"/>
      <c r="F22" s="136"/>
      <c r="G22" s="137"/>
      <c r="H22" s="150"/>
      <c r="I22" s="138"/>
      <c r="J22" s="137"/>
      <c r="K22" s="137"/>
      <c r="L22" s="137"/>
      <c r="M22" s="139"/>
      <c r="N22" s="140"/>
      <c r="O22" s="140"/>
      <c r="P22" s="140"/>
      <c r="Q22" s="140"/>
      <c r="R22" s="140"/>
    </row>
    <row r="23" spans="1:18" ht="16.2" thickTop="1" x14ac:dyDescent="0.3">
      <c r="A23" s="62"/>
      <c r="B23" s="142" t="s">
        <v>538</v>
      </c>
      <c r="C23" s="143">
        <f>COUNTA(B18:B22)</f>
        <v>4</v>
      </c>
      <c r="D23" s="142"/>
      <c r="E23" s="142"/>
      <c r="F23" s="144">
        <f>SUM(F18:F22)</f>
        <v>125000000</v>
      </c>
      <c r="G23" s="143"/>
      <c r="H23" s="145">
        <f>SUM(H18:H22)</f>
        <v>1430</v>
      </c>
      <c r="I23" s="146"/>
      <c r="J23" s="143"/>
      <c r="K23" s="143"/>
      <c r="L23" s="142"/>
      <c r="M23" s="147">
        <f>SUM(M18:M22)</f>
        <v>57.87</v>
      </c>
      <c r="N23" s="148"/>
      <c r="O23" s="148"/>
      <c r="P23" s="148"/>
      <c r="Q23" s="148"/>
      <c r="R23" s="148"/>
    </row>
    <row r="24" spans="1:18" x14ac:dyDescent="0.3">
      <c r="B24" s="7"/>
      <c r="C24" s="7"/>
      <c r="D24" s="7"/>
      <c r="E24" s="7"/>
      <c r="F24" s="6"/>
      <c r="G24" s="6"/>
      <c r="H24" s="6"/>
      <c r="I24" s="6"/>
      <c r="J24" s="6"/>
      <c r="K24" s="6"/>
      <c r="L24" s="7"/>
      <c r="M24" s="100"/>
      <c r="N24"/>
      <c r="O24"/>
    </row>
    <row r="25" spans="1:18" ht="15.6" x14ac:dyDescent="0.3">
      <c r="A25" s="62"/>
      <c r="B25" s="132" t="s">
        <v>463</v>
      </c>
      <c r="C25" s="133"/>
      <c r="D25" s="133"/>
      <c r="E25" s="133"/>
      <c r="F25" s="134"/>
      <c r="G25" s="134"/>
      <c r="H25" s="134"/>
      <c r="I25" s="134"/>
      <c r="J25" s="134"/>
      <c r="K25" s="134"/>
      <c r="L25" s="133"/>
      <c r="M25" s="149"/>
      <c r="N25" s="133"/>
      <c r="O25" s="133"/>
      <c r="P25" s="133"/>
      <c r="Q25" s="133"/>
      <c r="R25" s="133"/>
    </row>
    <row r="26" spans="1:18" ht="15.6" x14ac:dyDescent="0.3">
      <c r="A26" s="62"/>
      <c r="B26" s="135" t="s">
        <v>59</v>
      </c>
      <c r="C26" s="135" t="s">
        <v>747</v>
      </c>
      <c r="D26" s="135" t="s">
        <v>130</v>
      </c>
      <c r="E26" s="135" t="s">
        <v>860</v>
      </c>
      <c r="F26" s="136">
        <v>10500000</v>
      </c>
      <c r="G26" s="137" t="s">
        <v>503</v>
      </c>
      <c r="H26" s="151">
        <v>80</v>
      </c>
      <c r="I26" s="138">
        <v>0</v>
      </c>
      <c r="J26" s="137" t="s">
        <v>48</v>
      </c>
      <c r="K26" s="137" t="s">
        <v>100</v>
      </c>
      <c r="L26" s="138">
        <v>0.28999999999999998</v>
      </c>
      <c r="M26" s="139"/>
      <c r="N26" s="140"/>
      <c r="O26" s="140"/>
      <c r="P26" s="140"/>
      <c r="Q26" s="140"/>
      <c r="R26" s="140"/>
    </row>
    <row r="27" spans="1:18" ht="15.6" x14ac:dyDescent="0.3">
      <c r="A27" s="62"/>
      <c r="B27" s="135" t="s">
        <v>105</v>
      </c>
      <c r="C27" s="135" t="s">
        <v>106</v>
      </c>
      <c r="D27" s="135" t="s">
        <v>75</v>
      </c>
      <c r="E27" s="135" t="s">
        <v>860</v>
      </c>
      <c r="F27" s="136">
        <v>16000000</v>
      </c>
      <c r="G27" s="137" t="s">
        <v>503</v>
      </c>
      <c r="H27" s="151">
        <v>550</v>
      </c>
      <c r="I27" s="138">
        <v>0.95</v>
      </c>
      <c r="J27" s="137" t="s">
        <v>48</v>
      </c>
      <c r="K27" s="137" t="s">
        <v>100</v>
      </c>
      <c r="L27" s="138">
        <v>0.27</v>
      </c>
      <c r="M27" s="139"/>
      <c r="N27" s="140"/>
      <c r="O27" s="140"/>
      <c r="P27" s="140"/>
      <c r="Q27" s="140"/>
      <c r="R27" s="140"/>
    </row>
    <row r="28" spans="1:18" ht="15.6" x14ac:dyDescent="0.3">
      <c r="A28" s="62"/>
      <c r="B28" s="135" t="s">
        <v>50</v>
      </c>
      <c r="C28" s="135" t="s">
        <v>52</v>
      </c>
      <c r="D28" s="135" t="s">
        <v>53</v>
      </c>
      <c r="E28" s="135" t="s">
        <v>463</v>
      </c>
      <c r="F28" s="136">
        <v>40000000</v>
      </c>
      <c r="G28" s="137" t="s">
        <v>503</v>
      </c>
      <c r="H28" s="151">
        <v>118</v>
      </c>
      <c r="I28" s="138">
        <v>1</v>
      </c>
      <c r="J28" s="137" t="s">
        <v>48</v>
      </c>
      <c r="K28" s="137" t="s">
        <v>100</v>
      </c>
      <c r="L28" s="138"/>
      <c r="M28" s="139"/>
      <c r="N28" s="140"/>
      <c r="O28" s="140"/>
      <c r="P28" s="140"/>
      <c r="Q28" s="140"/>
      <c r="R28" s="140"/>
    </row>
    <row r="29" spans="1:18" ht="15.6" x14ac:dyDescent="0.3">
      <c r="A29" s="62"/>
      <c r="B29" s="135" t="s">
        <v>55</v>
      </c>
      <c r="C29" s="135" t="s">
        <v>56</v>
      </c>
      <c r="D29" s="135" t="s">
        <v>57</v>
      </c>
      <c r="E29" s="135" t="s">
        <v>860</v>
      </c>
      <c r="F29" s="136">
        <v>90000000</v>
      </c>
      <c r="G29" s="137" t="s">
        <v>503</v>
      </c>
      <c r="H29" s="151">
        <v>800</v>
      </c>
      <c r="I29" s="138">
        <v>0.9</v>
      </c>
      <c r="J29" s="137" t="s">
        <v>32</v>
      </c>
      <c r="K29" s="137" t="s">
        <v>547</v>
      </c>
      <c r="L29" s="138"/>
      <c r="M29" s="139"/>
      <c r="N29" s="140"/>
      <c r="O29" s="140"/>
      <c r="P29" s="140"/>
      <c r="Q29" s="140"/>
      <c r="R29" s="140"/>
    </row>
    <row r="30" spans="1:18" ht="15.6" x14ac:dyDescent="0.3">
      <c r="A30" s="62"/>
      <c r="B30" s="135" t="s">
        <v>656</v>
      </c>
      <c r="C30" s="135" t="s">
        <v>861</v>
      </c>
      <c r="D30" s="135" t="s">
        <v>31</v>
      </c>
      <c r="E30" s="135" t="s">
        <v>463</v>
      </c>
      <c r="F30" s="136" t="s">
        <v>42</v>
      </c>
      <c r="G30" s="137" t="s">
        <v>503</v>
      </c>
      <c r="H30" s="151">
        <v>80</v>
      </c>
      <c r="I30" s="138">
        <v>0</v>
      </c>
      <c r="J30" s="137" t="s">
        <v>48</v>
      </c>
      <c r="K30" s="137" t="s">
        <v>100</v>
      </c>
      <c r="L30" s="138"/>
      <c r="M30" s="139"/>
      <c r="N30" s="140"/>
      <c r="O30" s="140"/>
      <c r="P30" s="140"/>
      <c r="Q30" s="140"/>
      <c r="R30" s="140"/>
    </row>
    <row r="31" spans="1:18" ht="15.6" x14ac:dyDescent="0.3">
      <c r="A31" s="62"/>
      <c r="B31" s="135" t="s">
        <v>582</v>
      </c>
      <c r="C31" s="135" t="s">
        <v>47</v>
      </c>
      <c r="D31" s="135" t="s">
        <v>31</v>
      </c>
      <c r="E31" s="135" t="s">
        <v>34</v>
      </c>
      <c r="F31" s="136">
        <v>20000000</v>
      </c>
      <c r="G31" s="137" t="s">
        <v>503</v>
      </c>
      <c r="H31" s="151">
        <v>50</v>
      </c>
      <c r="I31" s="138">
        <v>0.95</v>
      </c>
      <c r="J31" s="137" t="s">
        <v>48</v>
      </c>
      <c r="K31" s="137" t="s">
        <v>100</v>
      </c>
      <c r="L31" s="138">
        <v>0.24</v>
      </c>
      <c r="M31" s="139"/>
      <c r="N31" s="140"/>
      <c r="O31" s="140"/>
      <c r="P31" s="140"/>
      <c r="Q31" s="140"/>
      <c r="R31" s="140"/>
    </row>
    <row r="32" spans="1:18" ht="15.6" x14ac:dyDescent="0.3">
      <c r="A32" s="62"/>
      <c r="B32" s="135" t="s">
        <v>37</v>
      </c>
      <c r="C32" s="135" t="s">
        <v>38</v>
      </c>
      <c r="D32" s="135" t="s">
        <v>31</v>
      </c>
      <c r="E32" s="135" t="s">
        <v>34</v>
      </c>
      <c r="F32" s="136">
        <v>15000000</v>
      </c>
      <c r="G32" s="137" t="s">
        <v>503</v>
      </c>
      <c r="H32" s="151">
        <v>700</v>
      </c>
      <c r="I32" s="138">
        <v>0.95</v>
      </c>
      <c r="J32" s="137" t="s">
        <v>32</v>
      </c>
      <c r="K32" s="137" t="s">
        <v>100</v>
      </c>
      <c r="L32" s="138">
        <v>0.25</v>
      </c>
      <c r="M32" s="139"/>
      <c r="N32" s="140"/>
      <c r="O32" s="140"/>
      <c r="P32" s="140"/>
      <c r="Q32" s="140"/>
      <c r="R32" s="140"/>
    </row>
    <row r="33" spans="1:18" ht="15.6" x14ac:dyDescent="0.3">
      <c r="A33" s="62"/>
      <c r="B33" s="135" t="s">
        <v>79</v>
      </c>
      <c r="C33" s="135" t="s">
        <v>80</v>
      </c>
      <c r="D33" s="135" t="s">
        <v>31</v>
      </c>
      <c r="E33" s="135" t="s">
        <v>463</v>
      </c>
      <c r="F33" s="136">
        <v>12500000</v>
      </c>
      <c r="G33" s="137" t="s">
        <v>503</v>
      </c>
      <c r="H33" s="151">
        <v>229</v>
      </c>
      <c r="I33" s="138">
        <v>0.95</v>
      </c>
      <c r="J33" s="137" t="s">
        <v>32</v>
      </c>
      <c r="K33" s="137" t="s">
        <v>100</v>
      </c>
      <c r="L33" s="138"/>
      <c r="M33" s="139">
        <v>21.35</v>
      </c>
      <c r="N33" s="140"/>
      <c r="O33" s="140"/>
      <c r="P33" s="140"/>
      <c r="Q33" s="140"/>
      <c r="R33" s="140"/>
    </row>
    <row r="34" spans="1:18" ht="15.6" x14ac:dyDescent="0.3">
      <c r="A34" s="62"/>
      <c r="B34" s="135" t="s">
        <v>573</v>
      </c>
      <c r="C34" s="135" t="s">
        <v>43</v>
      </c>
      <c r="D34" s="135" t="s">
        <v>31</v>
      </c>
      <c r="E34" s="135" t="s">
        <v>463</v>
      </c>
      <c r="F34" s="136" t="s">
        <v>42</v>
      </c>
      <c r="G34" s="137" t="s">
        <v>503</v>
      </c>
      <c r="H34" s="151">
        <v>240</v>
      </c>
      <c r="I34" s="138">
        <v>0</v>
      </c>
      <c r="J34" s="137" t="s">
        <v>32</v>
      </c>
      <c r="K34" s="137" t="s">
        <v>100</v>
      </c>
      <c r="L34" s="138"/>
      <c r="M34" s="139"/>
      <c r="N34" s="140"/>
      <c r="O34" s="140"/>
      <c r="P34" s="140"/>
      <c r="Q34" s="140"/>
      <c r="R34" s="140"/>
    </row>
    <row r="35" spans="1:18" ht="15.6" x14ac:dyDescent="0.3">
      <c r="A35" s="62"/>
      <c r="B35" s="135" t="s">
        <v>612</v>
      </c>
      <c r="C35" s="135" t="s">
        <v>272</v>
      </c>
      <c r="D35" s="135" t="s">
        <v>273</v>
      </c>
      <c r="E35" s="135" t="s">
        <v>463</v>
      </c>
      <c r="F35" s="136">
        <v>40000000</v>
      </c>
      <c r="G35" s="137" t="s">
        <v>503</v>
      </c>
      <c r="H35" s="151">
        <v>650</v>
      </c>
      <c r="I35" s="138" t="s">
        <v>42</v>
      </c>
      <c r="J35" s="137" t="s">
        <v>32</v>
      </c>
      <c r="K35" s="137" t="s">
        <v>613</v>
      </c>
      <c r="L35" s="138"/>
      <c r="M35" s="139"/>
      <c r="N35" s="140"/>
      <c r="O35" s="140"/>
      <c r="P35" s="140"/>
      <c r="Q35" s="140"/>
      <c r="R35" s="140"/>
    </row>
    <row r="36" spans="1:18" ht="15.6" x14ac:dyDescent="0.3">
      <c r="A36" s="62"/>
      <c r="B36" s="135" t="s">
        <v>66</v>
      </c>
      <c r="C36" s="135" t="s">
        <v>67</v>
      </c>
      <c r="D36" s="135" t="s">
        <v>68</v>
      </c>
      <c r="E36" s="135" t="s">
        <v>463</v>
      </c>
      <c r="F36" s="136" t="s">
        <v>42</v>
      </c>
      <c r="G36" s="137" t="s">
        <v>556</v>
      </c>
      <c r="H36" s="151">
        <v>404</v>
      </c>
      <c r="I36" s="138" t="s">
        <v>42</v>
      </c>
      <c r="J36" s="137" t="s">
        <v>32</v>
      </c>
      <c r="K36" s="137" t="s">
        <v>547</v>
      </c>
      <c r="L36" s="138"/>
      <c r="M36" s="139"/>
      <c r="N36" s="140"/>
      <c r="O36" s="140"/>
      <c r="P36" s="140"/>
      <c r="Q36" s="140"/>
      <c r="R36" s="140"/>
    </row>
    <row r="37" spans="1:18" ht="15.6" x14ac:dyDescent="0.3">
      <c r="A37" s="62"/>
      <c r="B37" s="135" t="s">
        <v>81</v>
      </c>
      <c r="C37" s="135" t="s">
        <v>82</v>
      </c>
      <c r="D37" s="135" t="s">
        <v>31</v>
      </c>
      <c r="E37" s="135" t="s">
        <v>463</v>
      </c>
      <c r="F37" s="136" t="s">
        <v>42</v>
      </c>
      <c r="G37" s="137" t="s">
        <v>503</v>
      </c>
      <c r="H37" s="151"/>
      <c r="I37" s="138"/>
      <c r="J37" s="137" t="s">
        <v>32</v>
      </c>
      <c r="K37" s="137" t="s">
        <v>100</v>
      </c>
      <c r="L37" s="138"/>
      <c r="M37" s="139"/>
      <c r="N37" s="140"/>
      <c r="O37" s="140"/>
      <c r="P37" s="140"/>
      <c r="Q37" s="140"/>
      <c r="R37" s="140"/>
    </row>
    <row r="38" spans="1:18" ht="16.2" thickBot="1" x14ac:dyDescent="0.35">
      <c r="A38" s="62"/>
      <c r="B38" s="135"/>
      <c r="C38" s="135"/>
      <c r="D38" s="135"/>
      <c r="E38" s="135"/>
      <c r="F38" s="136"/>
      <c r="G38" s="137"/>
      <c r="H38" s="151"/>
      <c r="I38" s="138"/>
      <c r="J38" s="137"/>
      <c r="K38" s="135"/>
      <c r="L38" s="137"/>
      <c r="M38" s="139"/>
      <c r="N38" s="140"/>
      <c r="O38" s="140"/>
      <c r="P38" s="140"/>
      <c r="Q38" s="140"/>
      <c r="R38" s="140"/>
    </row>
    <row r="39" spans="1:18" ht="16.2" thickTop="1" x14ac:dyDescent="0.3">
      <c r="A39" s="62"/>
      <c r="B39" s="142" t="s">
        <v>550</v>
      </c>
      <c r="C39" s="143">
        <f>COUNTA(C26:C38)</f>
        <v>12</v>
      </c>
      <c r="D39" s="142"/>
      <c r="E39" s="142"/>
      <c r="F39" s="144">
        <f>SUM(F26:F38)</f>
        <v>244000000</v>
      </c>
      <c r="G39" s="143"/>
      <c r="H39" s="145">
        <f>SUM(H26:H38)</f>
        <v>3901</v>
      </c>
      <c r="I39" s="146"/>
      <c r="J39" s="143"/>
      <c r="K39" s="142"/>
      <c r="L39" s="142"/>
      <c r="M39" s="147">
        <f>SUM(M26:M38)</f>
        <v>21.35</v>
      </c>
      <c r="N39" s="148"/>
      <c r="O39" s="148"/>
      <c r="P39" s="148"/>
      <c r="Q39" s="148"/>
      <c r="R39" s="148"/>
    </row>
    <row r="40" spans="1:18" x14ac:dyDescent="0.3">
      <c r="B40" s="7"/>
      <c r="C40" s="7"/>
      <c r="D40" s="7"/>
      <c r="E40" s="7"/>
      <c r="F40" s="6"/>
      <c r="G40" s="6"/>
      <c r="H40" s="6"/>
      <c r="I40" s="6"/>
      <c r="J40" s="6"/>
      <c r="K40" s="7"/>
      <c r="L40" s="7"/>
      <c r="M40" s="100"/>
      <c r="N40"/>
      <c r="O40"/>
    </row>
    <row r="41" spans="1:18" ht="15.6" hidden="1" x14ac:dyDescent="0.3">
      <c r="A41" s="62"/>
      <c r="B41" s="132" t="s">
        <v>148</v>
      </c>
      <c r="C41" s="153"/>
      <c r="D41" s="153"/>
      <c r="E41" s="153"/>
      <c r="F41" s="154"/>
      <c r="G41" s="134"/>
      <c r="H41" s="134"/>
      <c r="I41" s="134"/>
      <c r="J41" s="134"/>
      <c r="K41" s="153"/>
      <c r="L41" s="153"/>
      <c r="M41" s="149"/>
      <c r="N41" s="153"/>
      <c r="O41" s="153"/>
      <c r="P41" s="153"/>
      <c r="Q41" s="153"/>
      <c r="R41" s="153"/>
    </row>
    <row r="42" spans="1:18" ht="15.6" hidden="1" x14ac:dyDescent="0.3">
      <c r="A42" s="62"/>
      <c r="B42" s="140" t="s">
        <v>439</v>
      </c>
      <c r="C42" s="140" t="s">
        <v>60</v>
      </c>
      <c r="D42" s="140" t="s">
        <v>130</v>
      </c>
      <c r="E42" s="140" t="s">
        <v>117</v>
      </c>
      <c r="F42" s="155">
        <v>19000000</v>
      </c>
      <c r="G42" s="141" t="s">
        <v>503</v>
      </c>
      <c r="H42" s="141">
        <v>380</v>
      </c>
      <c r="I42" s="156">
        <v>0.92</v>
      </c>
      <c r="J42" s="141" t="s">
        <v>48</v>
      </c>
      <c r="K42" s="140" t="s">
        <v>100</v>
      </c>
      <c r="L42" s="141" t="s">
        <v>35</v>
      </c>
      <c r="M42" s="157">
        <v>25</v>
      </c>
      <c r="N42" s="140"/>
      <c r="O42" s="140"/>
      <c r="P42" s="140"/>
      <c r="Q42" s="140"/>
      <c r="R42" s="140"/>
    </row>
    <row r="43" spans="1:18" ht="15.6" hidden="1" x14ac:dyDescent="0.3">
      <c r="A43" s="62"/>
      <c r="B43" s="158" t="s">
        <v>756</v>
      </c>
      <c r="C43" s="158" t="s">
        <v>757</v>
      </c>
      <c r="D43" s="158" t="s">
        <v>426</v>
      </c>
      <c r="E43" s="158" t="s">
        <v>235</v>
      </c>
      <c r="F43" s="159">
        <v>28000000</v>
      </c>
      <c r="G43" s="160" t="s">
        <v>503</v>
      </c>
      <c r="H43" s="161" t="e">
        <f>SUM(#REF!,#REF!,#REF!,#REF!)</f>
        <v>#REF!</v>
      </c>
      <c r="I43" s="162">
        <v>1</v>
      </c>
      <c r="J43" s="160" t="s">
        <v>48</v>
      </c>
      <c r="K43" s="158" t="s">
        <v>553</v>
      </c>
      <c r="L43" s="160" t="s">
        <v>35</v>
      </c>
      <c r="M43" s="163">
        <v>28</v>
      </c>
      <c r="N43" s="158" t="s">
        <v>862</v>
      </c>
      <c r="O43" s="158"/>
      <c r="P43" s="158"/>
      <c r="Q43" s="158"/>
      <c r="R43" s="158"/>
    </row>
    <row r="44" spans="1:18" ht="15.6" hidden="1" x14ac:dyDescent="0.3">
      <c r="A44" s="62"/>
      <c r="B44" s="164" t="s">
        <v>551</v>
      </c>
      <c r="C44" s="164" t="s">
        <v>552</v>
      </c>
      <c r="D44" s="164" t="s">
        <v>426</v>
      </c>
      <c r="E44" s="164" t="s">
        <v>117</v>
      </c>
      <c r="F44" s="165">
        <v>16500000</v>
      </c>
      <c r="G44" s="129" t="s">
        <v>503</v>
      </c>
      <c r="H44" s="161" t="e">
        <f>SUM(#REF!,#REF!,#REF!,#REF!)</f>
        <v>#REF!</v>
      </c>
      <c r="I44" s="166">
        <v>1</v>
      </c>
      <c r="J44" s="129" t="s">
        <v>48</v>
      </c>
      <c r="K44" s="164" t="s">
        <v>553</v>
      </c>
      <c r="L44" s="129" t="s">
        <v>35</v>
      </c>
      <c r="M44" s="167"/>
      <c r="N44" s="164"/>
      <c r="O44" s="164"/>
      <c r="P44" s="164"/>
      <c r="Q44" s="164"/>
      <c r="R44" s="164"/>
    </row>
    <row r="45" spans="1:18" ht="15.6" hidden="1" x14ac:dyDescent="0.3">
      <c r="A45" s="62"/>
      <c r="B45" s="164" t="s">
        <v>721</v>
      </c>
      <c r="C45" s="164" t="s">
        <v>722</v>
      </c>
      <c r="D45" s="164" t="s">
        <v>225</v>
      </c>
      <c r="E45" s="164" t="s">
        <v>117</v>
      </c>
      <c r="F45" s="165">
        <v>11000000</v>
      </c>
      <c r="G45" s="129" t="s">
        <v>503</v>
      </c>
      <c r="H45" s="161" t="e">
        <f>SUM(#REF!,#REF!,#REF!,#REF!)</f>
        <v>#REF!</v>
      </c>
      <c r="I45" s="166">
        <v>1</v>
      </c>
      <c r="J45" s="129" t="s">
        <v>48</v>
      </c>
      <c r="K45" s="164" t="s">
        <v>553</v>
      </c>
      <c r="L45" s="141" t="s">
        <v>35</v>
      </c>
      <c r="M45" s="167">
        <v>20</v>
      </c>
      <c r="N45" s="164"/>
      <c r="O45" s="164"/>
      <c r="P45" s="164"/>
      <c r="Q45" s="164"/>
      <c r="R45" s="164"/>
    </row>
    <row r="46" spans="1:18" ht="15.6" hidden="1" x14ac:dyDescent="0.3">
      <c r="A46" s="62"/>
      <c r="B46" s="164" t="s">
        <v>105</v>
      </c>
      <c r="C46" s="164" t="s">
        <v>106</v>
      </c>
      <c r="D46" s="164" t="s">
        <v>75</v>
      </c>
      <c r="E46" s="164" t="s">
        <v>117</v>
      </c>
      <c r="F46" s="165">
        <v>25000000</v>
      </c>
      <c r="G46" s="129" t="s">
        <v>503</v>
      </c>
      <c r="H46" s="161" t="e">
        <f>SUM(#REF!,#REF!,#REF!,#REF!)</f>
        <v>#REF!</v>
      </c>
      <c r="I46" s="166">
        <v>0.93</v>
      </c>
      <c r="J46" s="129" t="s">
        <v>48</v>
      </c>
      <c r="K46" s="164" t="s">
        <v>110</v>
      </c>
      <c r="L46" s="129" t="s">
        <v>35</v>
      </c>
      <c r="M46" s="167">
        <v>13</v>
      </c>
      <c r="N46" s="164" t="s">
        <v>863</v>
      </c>
      <c r="O46" s="164"/>
      <c r="P46" s="164"/>
      <c r="Q46" s="164"/>
      <c r="R46" s="164"/>
    </row>
    <row r="47" spans="1:18" ht="15.6" hidden="1" x14ac:dyDescent="0.3">
      <c r="A47" s="62"/>
      <c r="B47" s="164" t="s">
        <v>554</v>
      </c>
      <c r="C47" s="164" t="s">
        <v>555</v>
      </c>
      <c r="D47" s="164" t="s">
        <v>299</v>
      </c>
      <c r="E47" s="164" t="s">
        <v>117</v>
      </c>
      <c r="F47" s="165">
        <v>27000000</v>
      </c>
      <c r="G47" s="129" t="s">
        <v>556</v>
      </c>
      <c r="H47" s="161" t="e">
        <f>SUM(#REF!,#REF!,#REF!,#REF!)</f>
        <v>#REF!</v>
      </c>
      <c r="I47" s="166">
        <v>0.95</v>
      </c>
      <c r="J47" s="129" t="s">
        <v>32</v>
      </c>
      <c r="K47" s="164" t="s">
        <v>547</v>
      </c>
      <c r="L47" s="129" t="s">
        <v>35</v>
      </c>
      <c r="M47" s="167">
        <v>80</v>
      </c>
      <c r="N47" s="164"/>
      <c r="O47" s="164"/>
      <c r="P47" s="164"/>
      <c r="Q47" s="164"/>
      <c r="R47" s="164"/>
    </row>
    <row r="48" spans="1:18" ht="15.6" hidden="1" x14ac:dyDescent="0.3">
      <c r="A48" s="62"/>
      <c r="B48" s="164" t="s">
        <v>754</v>
      </c>
      <c r="C48" s="164" t="s">
        <v>133</v>
      </c>
      <c r="D48" s="164" t="s">
        <v>57</v>
      </c>
      <c r="E48" s="164" t="s">
        <v>117</v>
      </c>
      <c r="F48" s="165">
        <v>45000000</v>
      </c>
      <c r="G48" s="129" t="s">
        <v>503</v>
      </c>
      <c r="H48" s="161" t="e">
        <f>SUM(#REF!,#REF!,#REF!,#REF!)</f>
        <v>#REF!</v>
      </c>
      <c r="I48" s="166">
        <v>0.93</v>
      </c>
      <c r="J48" s="129" t="s">
        <v>48</v>
      </c>
      <c r="K48" s="164" t="s">
        <v>100</v>
      </c>
      <c r="L48" s="129" t="s">
        <v>35</v>
      </c>
      <c r="M48" s="167">
        <v>30</v>
      </c>
      <c r="N48" s="164"/>
      <c r="O48" s="164"/>
      <c r="P48" s="164"/>
      <c r="Q48" s="164"/>
      <c r="R48" s="164"/>
    </row>
    <row r="49" spans="1:18" ht="15.6" hidden="1" x14ac:dyDescent="0.3">
      <c r="A49" s="62"/>
      <c r="B49" s="164" t="s">
        <v>557</v>
      </c>
      <c r="C49" s="164" t="s">
        <v>558</v>
      </c>
      <c r="D49" s="164" t="s">
        <v>559</v>
      </c>
      <c r="E49" s="164" t="s">
        <v>117</v>
      </c>
      <c r="F49" s="165">
        <v>17000000</v>
      </c>
      <c r="G49" s="129" t="s">
        <v>503</v>
      </c>
      <c r="H49" s="161" t="e">
        <f>SUM(#REF!,#REF!,#REF!,#REF!)</f>
        <v>#REF!</v>
      </c>
      <c r="I49" s="166">
        <v>1</v>
      </c>
      <c r="J49" s="129" t="s">
        <v>48</v>
      </c>
      <c r="K49" s="164" t="s">
        <v>100</v>
      </c>
      <c r="L49" s="129" t="s">
        <v>35</v>
      </c>
      <c r="M49" s="167">
        <v>21.5</v>
      </c>
      <c r="N49" s="164"/>
      <c r="O49" s="164"/>
      <c r="P49" s="164"/>
      <c r="Q49" s="164"/>
      <c r="R49" s="164"/>
    </row>
    <row r="50" spans="1:18" ht="15.6" hidden="1" x14ac:dyDescent="0.3">
      <c r="A50" s="62"/>
      <c r="B50" s="164" t="s">
        <v>128</v>
      </c>
      <c r="C50" s="164" t="s">
        <v>129</v>
      </c>
      <c r="D50" s="164" t="s">
        <v>130</v>
      </c>
      <c r="E50" s="164" t="s">
        <v>117</v>
      </c>
      <c r="F50" s="165">
        <v>12000000</v>
      </c>
      <c r="G50" s="129" t="s">
        <v>503</v>
      </c>
      <c r="H50" s="161" t="e">
        <f>SUM(#REF!,#REF!,#REF!,#REF!)</f>
        <v>#REF!</v>
      </c>
      <c r="I50" s="166">
        <v>0.75</v>
      </c>
      <c r="J50" s="129" t="s">
        <v>32</v>
      </c>
      <c r="K50" s="164" t="s">
        <v>100</v>
      </c>
      <c r="L50" s="129" t="s">
        <v>35</v>
      </c>
      <c r="M50" s="167">
        <v>18.5</v>
      </c>
      <c r="N50" s="164"/>
      <c r="O50" s="164"/>
      <c r="P50" s="164"/>
      <c r="Q50" s="164"/>
      <c r="R50" s="164"/>
    </row>
    <row r="51" spans="1:18" ht="15.6" hidden="1" x14ac:dyDescent="0.3">
      <c r="A51" s="62"/>
      <c r="B51" s="164" t="s">
        <v>132</v>
      </c>
      <c r="C51" s="164" t="s">
        <v>133</v>
      </c>
      <c r="D51" s="164" t="s">
        <v>57</v>
      </c>
      <c r="E51" s="164" t="s">
        <v>117</v>
      </c>
      <c r="F51" s="165">
        <v>25000000</v>
      </c>
      <c r="G51" s="129" t="s">
        <v>503</v>
      </c>
      <c r="H51" s="161" t="e">
        <f>SUM(#REF!,#REF!,#REF!,#REF!)</f>
        <v>#REF!</v>
      </c>
      <c r="I51" s="166">
        <v>0.9</v>
      </c>
      <c r="J51" s="129" t="s">
        <v>32</v>
      </c>
      <c r="K51" s="164" t="s">
        <v>110</v>
      </c>
      <c r="L51" s="129" t="s">
        <v>35</v>
      </c>
      <c r="M51" s="167">
        <v>15.5</v>
      </c>
      <c r="N51" s="164"/>
      <c r="O51" s="164"/>
      <c r="P51" s="164"/>
      <c r="Q51" s="164"/>
      <c r="R51" s="164"/>
    </row>
    <row r="52" spans="1:18" ht="15.6" hidden="1" x14ac:dyDescent="0.3">
      <c r="A52" s="62"/>
      <c r="B52" s="164" t="s">
        <v>120</v>
      </c>
      <c r="C52" s="164" t="s">
        <v>121</v>
      </c>
      <c r="D52" s="164" t="s">
        <v>122</v>
      </c>
      <c r="E52" s="164" t="s">
        <v>117</v>
      </c>
      <c r="F52" s="165">
        <v>30000000</v>
      </c>
      <c r="G52" s="129" t="s">
        <v>503</v>
      </c>
      <c r="H52" s="161" t="s">
        <v>42</v>
      </c>
      <c r="I52" s="166"/>
      <c r="J52" s="129" t="s">
        <v>48</v>
      </c>
      <c r="K52" s="164" t="s">
        <v>547</v>
      </c>
      <c r="L52" s="129" t="s">
        <v>35</v>
      </c>
      <c r="M52" s="167"/>
      <c r="N52" s="164"/>
      <c r="O52" s="164"/>
      <c r="P52" s="164"/>
      <c r="Q52" s="164"/>
      <c r="R52" s="164"/>
    </row>
    <row r="53" spans="1:18" ht="15.6" hidden="1" x14ac:dyDescent="0.3">
      <c r="A53" s="62"/>
      <c r="B53" s="164" t="s">
        <v>126</v>
      </c>
      <c r="C53" s="164" t="s">
        <v>127</v>
      </c>
      <c r="D53" s="164" t="s">
        <v>122</v>
      </c>
      <c r="E53" s="164" t="s">
        <v>117</v>
      </c>
      <c r="F53" s="165">
        <v>50000000</v>
      </c>
      <c r="G53" s="129" t="s">
        <v>503</v>
      </c>
      <c r="H53" s="161">
        <v>700</v>
      </c>
      <c r="I53" s="166">
        <v>0.95</v>
      </c>
      <c r="J53" s="129" t="s">
        <v>32</v>
      </c>
      <c r="K53" s="164" t="s">
        <v>100</v>
      </c>
      <c r="L53" s="129" t="s">
        <v>35</v>
      </c>
      <c r="M53" s="167"/>
      <c r="N53" s="164"/>
      <c r="O53" s="164"/>
      <c r="P53" s="164"/>
      <c r="Q53" s="164"/>
      <c r="R53" s="164"/>
    </row>
    <row r="54" spans="1:18" ht="15.6" hidden="1" x14ac:dyDescent="0.3">
      <c r="A54" s="62"/>
      <c r="B54" s="164" t="s">
        <v>135</v>
      </c>
      <c r="C54" s="164" t="s">
        <v>136</v>
      </c>
      <c r="D54" s="164" t="s">
        <v>130</v>
      </c>
      <c r="E54" s="164" t="s">
        <v>148</v>
      </c>
      <c r="F54" s="165">
        <v>9000000</v>
      </c>
      <c r="G54" s="129" t="s">
        <v>503</v>
      </c>
      <c r="H54" s="161">
        <v>100</v>
      </c>
      <c r="I54" s="166">
        <v>1</v>
      </c>
      <c r="J54" s="129" t="s">
        <v>48</v>
      </c>
      <c r="K54" s="164" t="s">
        <v>100</v>
      </c>
      <c r="L54" s="129" t="s">
        <v>35</v>
      </c>
      <c r="M54" s="167"/>
      <c r="N54" s="164" t="s">
        <v>864</v>
      </c>
      <c r="O54" s="164"/>
      <c r="P54" s="164"/>
      <c r="Q54" s="164"/>
      <c r="R54" s="164"/>
    </row>
    <row r="55" spans="1:18" ht="15.6" hidden="1" x14ac:dyDescent="0.3">
      <c r="A55" s="62"/>
      <c r="B55" s="164" t="s">
        <v>139</v>
      </c>
      <c r="C55" s="164" t="s">
        <v>56</v>
      </c>
      <c r="D55" s="164" t="s">
        <v>57</v>
      </c>
      <c r="E55" s="164" t="s">
        <v>148</v>
      </c>
      <c r="F55" s="165">
        <v>35000000</v>
      </c>
      <c r="G55" s="129" t="s">
        <v>503</v>
      </c>
      <c r="H55" s="161">
        <v>170</v>
      </c>
      <c r="I55" s="166">
        <v>1</v>
      </c>
      <c r="J55" s="129" t="s">
        <v>48</v>
      </c>
      <c r="K55" s="164" t="s">
        <v>100</v>
      </c>
      <c r="L55" s="129" t="s">
        <v>35</v>
      </c>
      <c r="M55" s="167"/>
      <c r="N55" s="164" t="s">
        <v>865</v>
      </c>
      <c r="O55" s="164"/>
      <c r="P55" s="164"/>
      <c r="Q55" s="164"/>
      <c r="R55" s="164"/>
    </row>
    <row r="56" spans="1:18" ht="15.6" hidden="1" x14ac:dyDescent="0.3">
      <c r="A56" s="62"/>
      <c r="B56" s="164" t="s">
        <v>141</v>
      </c>
      <c r="C56" s="164" t="s">
        <v>129</v>
      </c>
      <c r="D56" s="164" t="s">
        <v>130</v>
      </c>
      <c r="E56" s="164" t="s">
        <v>148</v>
      </c>
      <c r="F56" s="165">
        <v>7500000</v>
      </c>
      <c r="G56" s="129" t="s">
        <v>503</v>
      </c>
      <c r="H56" s="161">
        <v>319</v>
      </c>
      <c r="I56" s="166">
        <v>1</v>
      </c>
      <c r="J56" s="129" t="s">
        <v>48</v>
      </c>
      <c r="K56" s="164" t="s">
        <v>100</v>
      </c>
      <c r="L56" s="129" t="s">
        <v>35</v>
      </c>
      <c r="M56" s="167"/>
      <c r="N56" s="164" t="s">
        <v>866</v>
      </c>
      <c r="O56" s="164"/>
      <c r="P56" s="164"/>
      <c r="Q56" s="164"/>
      <c r="R56" s="164"/>
    </row>
    <row r="57" spans="1:18" ht="15.6" hidden="1" x14ac:dyDescent="0.3">
      <c r="A57" s="62"/>
      <c r="B57" s="140" t="s">
        <v>152</v>
      </c>
      <c r="C57" s="140" t="s">
        <v>153</v>
      </c>
      <c r="D57" s="140" t="s">
        <v>57</v>
      </c>
      <c r="E57" s="140" t="s">
        <v>148</v>
      </c>
      <c r="F57" s="155">
        <v>22000000</v>
      </c>
      <c r="G57" s="141" t="s">
        <v>503</v>
      </c>
      <c r="H57" s="161">
        <v>175</v>
      </c>
      <c r="I57" s="156">
        <v>1</v>
      </c>
      <c r="J57" s="141" t="s">
        <v>48</v>
      </c>
      <c r="K57" s="140" t="s">
        <v>547</v>
      </c>
      <c r="L57" s="141" t="s">
        <v>35</v>
      </c>
      <c r="M57" s="157"/>
      <c r="N57" s="140"/>
      <c r="O57" s="140"/>
      <c r="P57" s="140"/>
      <c r="Q57" s="140"/>
      <c r="R57" s="140"/>
    </row>
    <row r="58" spans="1:18" ht="15.6" hidden="1" x14ac:dyDescent="0.3">
      <c r="A58" s="62"/>
      <c r="B58" s="140" t="s">
        <v>867</v>
      </c>
      <c r="C58" s="140" t="s">
        <v>419</v>
      </c>
      <c r="D58" s="140" t="s">
        <v>420</v>
      </c>
      <c r="E58" s="140" t="s">
        <v>868</v>
      </c>
      <c r="F58" s="155">
        <v>20000000</v>
      </c>
      <c r="G58" s="141" t="s">
        <v>556</v>
      </c>
      <c r="H58" s="161">
        <v>467</v>
      </c>
      <c r="I58" s="156">
        <v>1</v>
      </c>
      <c r="J58" s="141" t="s">
        <v>48</v>
      </c>
      <c r="K58" s="140" t="s">
        <v>100</v>
      </c>
      <c r="L58" s="141" t="s">
        <v>35</v>
      </c>
      <c r="M58" s="157"/>
      <c r="N58" s="140"/>
      <c r="O58" s="140"/>
      <c r="P58" s="140"/>
      <c r="Q58" s="140"/>
      <c r="R58" s="140"/>
    </row>
    <row r="59" spans="1:18" ht="15.6" hidden="1" x14ac:dyDescent="0.3">
      <c r="A59" s="62"/>
      <c r="B59" s="140" t="s">
        <v>146</v>
      </c>
      <c r="C59" s="140" t="s">
        <v>147</v>
      </c>
      <c r="D59" s="140" t="s">
        <v>115</v>
      </c>
      <c r="E59" s="140" t="s">
        <v>868</v>
      </c>
      <c r="F59" s="155">
        <v>15000000</v>
      </c>
      <c r="G59" s="141" t="s">
        <v>503</v>
      </c>
      <c r="H59" s="161">
        <v>210</v>
      </c>
      <c r="I59" s="156">
        <v>1</v>
      </c>
      <c r="J59" s="141" t="s">
        <v>48</v>
      </c>
      <c r="K59" s="140" t="s">
        <v>100</v>
      </c>
      <c r="L59" s="141" t="s">
        <v>35</v>
      </c>
      <c r="M59" s="157"/>
      <c r="N59" s="140"/>
      <c r="O59" s="140"/>
      <c r="P59" s="140"/>
      <c r="Q59" s="140"/>
      <c r="R59" s="140"/>
    </row>
    <row r="60" spans="1:18" ht="16.2" hidden="1" thickTop="1" x14ac:dyDescent="0.3">
      <c r="A60" s="62"/>
      <c r="B60" s="148" t="s">
        <v>595</v>
      </c>
      <c r="C60" s="168">
        <f>COUNTA(B42:B59)</f>
        <v>18</v>
      </c>
      <c r="D60" s="148"/>
      <c r="E60" s="168"/>
      <c r="F60" s="169">
        <f>SUM(F42:F59)</f>
        <v>414000000</v>
      </c>
      <c r="G60" s="168"/>
      <c r="H60" s="170" t="e">
        <f>SUM(H42:H59)</f>
        <v>#REF!</v>
      </c>
      <c r="I60" s="171"/>
      <c r="J60" s="168"/>
      <c r="K60" s="148"/>
      <c r="L60" s="148"/>
      <c r="M60" s="172"/>
      <c r="N60" s="148"/>
      <c r="O60" s="148"/>
      <c r="P60" s="148"/>
      <c r="Q60" s="148"/>
      <c r="R60" s="148"/>
    </row>
    <row r="61" spans="1:18" hidden="1" x14ac:dyDescent="0.3">
      <c r="K61"/>
      <c r="L61"/>
      <c r="M61" s="65"/>
      <c r="N61"/>
      <c r="O61"/>
    </row>
    <row r="62" spans="1:18" hidden="1" x14ac:dyDescent="0.3">
      <c r="K62"/>
      <c r="L62"/>
      <c r="M62" s="65"/>
      <c r="N62"/>
      <c r="O62"/>
    </row>
    <row r="63" spans="1:18" ht="15.6" hidden="1" x14ac:dyDescent="0.3">
      <c r="A63" s="62"/>
      <c r="B63" s="132" t="s">
        <v>869</v>
      </c>
      <c r="C63" s="153"/>
      <c r="D63" s="153"/>
      <c r="E63" s="153"/>
      <c r="F63" s="154"/>
      <c r="G63" s="134"/>
      <c r="H63" s="134"/>
      <c r="I63" s="134"/>
      <c r="J63" s="134"/>
      <c r="K63" s="153"/>
      <c r="L63" s="153"/>
      <c r="M63" s="149"/>
      <c r="N63" s="153"/>
      <c r="O63" s="153"/>
      <c r="P63" s="153"/>
      <c r="Q63" s="153"/>
      <c r="R63" s="153"/>
    </row>
    <row r="64" spans="1:18" ht="15.6" hidden="1" x14ac:dyDescent="0.3">
      <c r="A64" s="62"/>
      <c r="B64" s="140" t="s">
        <v>200</v>
      </c>
      <c r="C64" s="140" t="s">
        <v>201</v>
      </c>
      <c r="D64" s="140" t="s">
        <v>75</v>
      </c>
      <c r="E64" s="140" t="s">
        <v>596</v>
      </c>
      <c r="F64" s="155">
        <v>10000000</v>
      </c>
      <c r="G64" s="141" t="s">
        <v>503</v>
      </c>
      <c r="H64" s="173" t="e">
        <f>SUM(#REF!,#REF!,#REF!,#REF!)</f>
        <v>#REF!</v>
      </c>
      <c r="I64" s="156">
        <v>1</v>
      </c>
      <c r="J64" s="141" t="s">
        <v>48</v>
      </c>
      <c r="K64" s="140" t="s">
        <v>100</v>
      </c>
      <c r="L64" s="141" t="s">
        <v>35</v>
      </c>
      <c r="M64" s="157"/>
      <c r="N64" s="140" t="s">
        <v>870</v>
      </c>
      <c r="O64" s="140"/>
      <c r="P64" s="140"/>
      <c r="Q64" s="140"/>
      <c r="R64" s="140"/>
    </row>
    <row r="65" spans="1:18" ht="15.6" hidden="1" x14ac:dyDescent="0.3">
      <c r="A65" s="62"/>
      <c r="B65" s="140" t="s">
        <v>227</v>
      </c>
      <c r="C65" s="140" t="s">
        <v>228</v>
      </c>
      <c r="D65" s="140" t="s">
        <v>31</v>
      </c>
      <c r="E65" s="140" t="s">
        <v>596</v>
      </c>
      <c r="F65" s="155">
        <v>9000000</v>
      </c>
      <c r="G65" s="141" t="s">
        <v>503</v>
      </c>
      <c r="H65" s="161" t="e">
        <f>SUM(#REF!,#REF!,#REF!,#REF!)</f>
        <v>#REF!</v>
      </c>
      <c r="I65" s="156">
        <v>1</v>
      </c>
      <c r="J65" s="141" t="s">
        <v>48</v>
      </c>
      <c r="K65" s="140" t="s">
        <v>110</v>
      </c>
      <c r="L65" s="141" t="s">
        <v>35</v>
      </c>
      <c r="M65" s="157">
        <v>1.7</v>
      </c>
      <c r="N65" s="140" t="s">
        <v>871</v>
      </c>
      <c r="O65" s="140"/>
      <c r="P65" s="140"/>
      <c r="Q65" s="140"/>
      <c r="R65" s="140"/>
    </row>
    <row r="66" spans="1:18" ht="15.6" hidden="1" x14ac:dyDescent="0.3">
      <c r="A66" s="62"/>
      <c r="B66" s="174" t="s">
        <v>230</v>
      </c>
      <c r="C66" s="174" t="s">
        <v>231</v>
      </c>
      <c r="D66" s="174" t="s">
        <v>31</v>
      </c>
      <c r="E66" s="174" t="s">
        <v>596</v>
      </c>
      <c r="F66" s="175">
        <v>10000000</v>
      </c>
      <c r="G66" s="176" t="s">
        <v>503</v>
      </c>
      <c r="H66" s="177" t="e">
        <f>SUM(#REF!,#REF!,#REF!,#REF!)</f>
        <v>#REF!</v>
      </c>
      <c r="I66" s="178">
        <v>1</v>
      </c>
      <c r="J66" s="176" t="s">
        <v>32</v>
      </c>
      <c r="K66" s="174" t="s">
        <v>100</v>
      </c>
      <c r="L66" s="141" t="s">
        <v>872</v>
      </c>
      <c r="M66" s="179">
        <v>2</v>
      </c>
      <c r="N66" s="174" t="s">
        <v>598</v>
      </c>
      <c r="O66" s="174"/>
      <c r="P66" s="140"/>
      <c r="Q66" s="140"/>
      <c r="R66" s="140"/>
    </row>
    <row r="67" spans="1:18" ht="15.6" hidden="1" x14ac:dyDescent="0.3">
      <c r="A67" s="62"/>
      <c r="B67" s="174" t="s">
        <v>873</v>
      </c>
      <c r="C67" s="174" t="s">
        <v>231</v>
      </c>
      <c r="D67" s="174" t="s">
        <v>31</v>
      </c>
      <c r="E67" s="174" t="s">
        <v>596</v>
      </c>
      <c r="F67" s="175">
        <v>4000000</v>
      </c>
      <c r="G67" s="176" t="s">
        <v>503</v>
      </c>
      <c r="H67" s="177" t="e">
        <f>SUM(#REF!,#REF!,#REF!,#REF!)</f>
        <v>#REF!</v>
      </c>
      <c r="I67" s="178" t="s">
        <v>116</v>
      </c>
      <c r="J67" s="176" t="s">
        <v>32</v>
      </c>
      <c r="K67" s="174" t="s">
        <v>100</v>
      </c>
      <c r="L67" s="176" t="s">
        <v>872</v>
      </c>
      <c r="M67" s="179">
        <v>9.3000000000000007</v>
      </c>
      <c r="N67" s="174" t="s">
        <v>599</v>
      </c>
      <c r="O67" s="174"/>
      <c r="P67" s="140"/>
      <c r="Q67" s="140"/>
      <c r="R67" s="140"/>
    </row>
    <row r="68" spans="1:18" ht="15.6" hidden="1" x14ac:dyDescent="0.3">
      <c r="A68" s="62"/>
      <c r="B68" s="164" t="s">
        <v>874</v>
      </c>
      <c r="C68" s="164" t="s">
        <v>187</v>
      </c>
      <c r="D68" s="164" t="s">
        <v>188</v>
      </c>
      <c r="E68" s="164" t="s">
        <v>596</v>
      </c>
      <c r="F68" s="165">
        <v>15000000</v>
      </c>
      <c r="G68" s="129" t="s">
        <v>556</v>
      </c>
      <c r="H68" s="161" t="e">
        <f>SUM(#REF!,#REF!,#REF!,#REF!)</f>
        <v>#REF!</v>
      </c>
      <c r="I68" s="166">
        <v>0.6</v>
      </c>
      <c r="J68" s="129" t="s">
        <v>32</v>
      </c>
      <c r="K68" s="164" t="s">
        <v>100</v>
      </c>
      <c r="L68" s="141" t="s">
        <v>35</v>
      </c>
      <c r="M68" s="167"/>
      <c r="N68" s="164" t="s">
        <v>875</v>
      </c>
      <c r="O68" s="164"/>
      <c r="P68" s="164"/>
      <c r="Q68" s="164"/>
      <c r="R68" s="164"/>
    </row>
    <row r="69" spans="1:18" ht="15.6" hidden="1" x14ac:dyDescent="0.3">
      <c r="A69" s="62"/>
      <c r="B69" s="164" t="s">
        <v>191</v>
      </c>
      <c r="C69" s="164" t="s">
        <v>192</v>
      </c>
      <c r="D69" s="164" t="s">
        <v>75</v>
      </c>
      <c r="E69" s="164" t="s">
        <v>596</v>
      </c>
      <c r="F69" s="165">
        <v>7500000</v>
      </c>
      <c r="G69" s="129" t="s">
        <v>503</v>
      </c>
      <c r="H69" s="161" t="e">
        <f>SUM(#REF!,#REF!,#REF!,#REF!)</f>
        <v>#REF!</v>
      </c>
      <c r="I69" s="166">
        <v>1</v>
      </c>
      <c r="J69" s="129" t="s">
        <v>32</v>
      </c>
      <c r="K69" s="164" t="s">
        <v>110</v>
      </c>
      <c r="L69" s="129" t="s">
        <v>872</v>
      </c>
      <c r="M69" s="167">
        <v>4.5</v>
      </c>
      <c r="N69" s="164" t="s">
        <v>876</v>
      </c>
      <c r="O69" s="164"/>
      <c r="P69" s="164"/>
      <c r="Q69" s="164"/>
      <c r="R69" s="164"/>
    </row>
    <row r="70" spans="1:18" ht="15.6" hidden="1" x14ac:dyDescent="0.3">
      <c r="A70" s="62"/>
      <c r="B70" s="164" t="s">
        <v>194</v>
      </c>
      <c r="C70" s="164" t="s">
        <v>124</v>
      </c>
      <c r="D70" s="164" t="s">
        <v>31</v>
      </c>
      <c r="E70" s="164" t="s">
        <v>596</v>
      </c>
      <c r="F70" s="165">
        <v>9000000</v>
      </c>
      <c r="G70" s="129" t="s">
        <v>503</v>
      </c>
      <c r="H70" s="161" t="e">
        <f>SUM(#REF!,#REF!,#REF!,#REF!)</f>
        <v>#REF!</v>
      </c>
      <c r="I70" s="166">
        <v>1</v>
      </c>
      <c r="J70" s="160" t="s">
        <v>48</v>
      </c>
      <c r="K70" s="164"/>
      <c r="L70" s="141" t="s">
        <v>35</v>
      </c>
      <c r="M70" s="167"/>
      <c r="N70" s="164" t="s">
        <v>877</v>
      </c>
      <c r="O70" s="164"/>
      <c r="P70" s="164"/>
      <c r="Q70" s="164"/>
      <c r="R70" s="164"/>
    </row>
    <row r="71" spans="1:18" ht="15.6" hidden="1" x14ac:dyDescent="0.3">
      <c r="A71" s="62"/>
      <c r="B71" s="164" t="s">
        <v>210</v>
      </c>
      <c r="C71" s="164" t="s">
        <v>211</v>
      </c>
      <c r="D71" s="164" t="s">
        <v>57</v>
      </c>
      <c r="E71" s="164" t="s">
        <v>596</v>
      </c>
      <c r="F71" s="165">
        <v>6000000</v>
      </c>
      <c r="G71" s="129" t="s">
        <v>503</v>
      </c>
      <c r="H71" s="161" t="e">
        <f>SUM(#REF!,#REF!,#REF!,#REF!)</f>
        <v>#REF!</v>
      </c>
      <c r="I71" s="166">
        <v>1</v>
      </c>
      <c r="J71" s="129" t="s">
        <v>32</v>
      </c>
      <c r="K71" s="164"/>
      <c r="L71" s="129" t="s">
        <v>872</v>
      </c>
      <c r="M71" s="167">
        <v>27</v>
      </c>
      <c r="N71" s="164" t="s">
        <v>878</v>
      </c>
      <c r="O71" s="164"/>
      <c r="P71" s="164"/>
      <c r="Q71" s="164"/>
      <c r="R71" s="164"/>
    </row>
    <row r="72" spans="1:18" ht="15.6" hidden="1" x14ac:dyDescent="0.3">
      <c r="A72" s="62"/>
      <c r="B72" s="158" t="s">
        <v>196</v>
      </c>
      <c r="C72" s="158" t="s">
        <v>197</v>
      </c>
      <c r="D72" s="158" t="s">
        <v>198</v>
      </c>
      <c r="E72" s="164" t="s">
        <v>596</v>
      </c>
      <c r="F72" s="159">
        <v>7800000</v>
      </c>
      <c r="G72" s="129" t="s">
        <v>503</v>
      </c>
      <c r="H72" s="161" t="e">
        <f>SUM(#REF!,#REF!,#REF!,#REF!)</f>
        <v>#REF!</v>
      </c>
      <c r="I72" s="162"/>
      <c r="J72" s="129" t="s">
        <v>32</v>
      </c>
      <c r="K72" s="158" t="s">
        <v>547</v>
      </c>
      <c r="L72" s="160" t="s">
        <v>872</v>
      </c>
      <c r="M72" s="163"/>
      <c r="N72" s="158" t="s">
        <v>879</v>
      </c>
      <c r="O72" s="158"/>
      <c r="P72" s="158"/>
      <c r="Q72" s="158"/>
      <c r="R72" s="158"/>
    </row>
    <row r="73" spans="1:18" ht="15.6" hidden="1" x14ac:dyDescent="0.3">
      <c r="A73" s="62"/>
      <c r="B73" s="158" t="s">
        <v>203</v>
      </c>
      <c r="C73" s="158" t="s">
        <v>204</v>
      </c>
      <c r="D73" s="158" t="s">
        <v>130</v>
      </c>
      <c r="E73" s="164" t="s">
        <v>596</v>
      </c>
      <c r="F73" s="159">
        <v>11000000</v>
      </c>
      <c r="G73" s="129" t="s">
        <v>503</v>
      </c>
      <c r="H73" s="161" t="e">
        <f>SUM(#REF!,#REF!,#REF!,#REF!)</f>
        <v>#REF!</v>
      </c>
      <c r="I73" s="162">
        <v>0.85</v>
      </c>
      <c r="J73" s="129" t="s">
        <v>32</v>
      </c>
      <c r="K73" s="158"/>
      <c r="L73" s="141" t="s">
        <v>35</v>
      </c>
      <c r="M73" s="163"/>
      <c r="N73" s="158" t="s">
        <v>880</v>
      </c>
      <c r="O73" s="158"/>
      <c r="P73" s="158"/>
      <c r="Q73" s="158"/>
      <c r="R73" s="158"/>
    </row>
    <row r="74" spans="1:18" ht="15.6" hidden="1" x14ac:dyDescent="0.3">
      <c r="A74" s="62"/>
      <c r="B74" s="158" t="s">
        <v>206</v>
      </c>
      <c r="C74" s="158" t="s">
        <v>207</v>
      </c>
      <c r="D74" s="158" t="s">
        <v>208</v>
      </c>
      <c r="E74" s="164" t="s">
        <v>596</v>
      </c>
      <c r="F74" s="159">
        <v>8000000</v>
      </c>
      <c r="G74" s="129" t="s">
        <v>503</v>
      </c>
      <c r="H74" s="161" t="e">
        <f>SUM(#REF!,#REF!,#REF!,#REF!)</f>
        <v>#REF!</v>
      </c>
      <c r="I74" s="162"/>
      <c r="J74" s="129" t="s">
        <v>32</v>
      </c>
      <c r="K74" s="158"/>
      <c r="L74" s="141" t="s">
        <v>35</v>
      </c>
      <c r="M74" s="163"/>
      <c r="N74" s="158" t="s">
        <v>881</v>
      </c>
      <c r="O74" s="158"/>
      <c r="P74" s="158"/>
      <c r="Q74" s="158"/>
      <c r="R74" s="158"/>
    </row>
    <row r="75" spans="1:18" ht="15.6" hidden="1" x14ac:dyDescent="0.3">
      <c r="A75" s="62"/>
      <c r="B75" s="158" t="s">
        <v>213</v>
      </c>
      <c r="C75" s="158" t="s">
        <v>214</v>
      </c>
      <c r="D75" s="158" t="s">
        <v>215</v>
      </c>
      <c r="E75" s="164" t="s">
        <v>596</v>
      </c>
      <c r="F75" s="159">
        <v>5000000</v>
      </c>
      <c r="G75" s="129" t="s">
        <v>503</v>
      </c>
      <c r="H75" s="161" t="e">
        <f>SUM(#REF!,#REF!,#REF!,#REF!)</f>
        <v>#REF!</v>
      </c>
      <c r="I75" s="162">
        <v>1</v>
      </c>
      <c r="J75" s="160" t="s">
        <v>48</v>
      </c>
      <c r="K75" s="158"/>
      <c r="L75" s="160" t="s">
        <v>872</v>
      </c>
      <c r="M75" s="163"/>
      <c r="N75" s="158" t="s">
        <v>882</v>
      </c>
      <c r="O75" s="158"/>
      <c r="P75" s="158"/>
      <c r="Q75" s="158"/>
      <c r="R75" s="158"/>
    </row>
    <row r="76" spans="1:18" ht="15.6" hidden="1" x14ac:dyDescent="0.3">
      <c r="A76" s="62"/>
      <c r="B76" s="158" t="s">
        <v>217</v>
      </c>
      <c r="C76" s="158" t="s">
        <v>218</v>
      </c>
      <c r="D76" s="158" t="s">
        <v>219</v>
      </c>
      <c r="E76" s="164" t="s">
        <v>596</v>
      </c>
      <c r="F76" s="159">
        <v>3500000</v>
      </c>
      <c r="G76" s="129" t="s">
        <v>503</v>
      </c>
      <c r="H76" s="161" t="e">
        <f>SUM(#REF!,#REF!,#REF!,#REF!)</f>
        <v>#REF!</v>
      </c>
      <c r="I76" s="162"/>
      <c r="J76" s="160" t="s">
        <v>48</v>
      </c>
      <c r="K76" s="158"/>
      <c r="L76" s="160" t="s">
        <v>872</v>
      </c>
      <c r="M76" s="163"/>
      <c r="N76" s="158" t="s">
        <v>883</v>
      </c>
      <c r="O76" s="158"/>
      <c r="P76" s="158"/>
      <c r="Q76" s="158"/>
      <c r="R76" s="158"/>
    </row>
    <row r="77" spans="1:18" ht="15.6" hidden="1" x14ac:dyDescent="0.3">
      <c r="A77" s="62"/>
      <c r="B77" s="158" t="s">
        <v>221</v>
      </c>
      <c r="C77" s="158" t="s">
        <v>222</v>
      </c>
      <c r="D77" s="158" t="s">
        <v>219</v>
      </c>
      <c r="E77" s="164" t="s">
        <v>596</v>
      </c>
      <c r="F77" s="159">
        <v>2500000</v>
      </c>
      <c r="G77" s="129" t="s">
        <v>503</v>
      </c>
      <c r="H77" s="161" t="e">
        <f>SUM(#REF!,#REF!,#REF!,#REF!)</f>
        <v>#REF!</v>
      </c>
      <c r="I77" s="162"/>
      <c r="J77" s="160" t="s">
        <v>48</v>
      </c>
      <c r="K77" s="158"/>
      <c r="L77" s="160" t="s">
        <v>872</v>
      </c>
      <c r="M77" s="163"/>
      <c r="N77" s="158"/>
      <c r="O77" s="158"/>
      <c r="P77" s="158"/>
      <c r="Q77" s="158"/>
      <c r="R77" s="158"/>
    </row>
    <row r="78" spans="1:18" ht="15.6" hidden="1" x14ac:dyDescent="0.3">
      <c r="A78" s="62"/>
      <c r="B78" s="158" t="s">
        <v>223</v>
      </c>
      <c r="C78" s="158" t="s">
        <v>224</v>
      </c>
      <c r="D78" s="158" t="s">
        <v>225</v>
      </c>
      <c r="E78" s="164" t="s">
        <v>596</v>
      </c>
      <c r="F78" s="159">
        <v>8500000</v>
      </c>
      <c r="G78" s="129" t="s">
        <v>503</v>
      </c>
      <c r="H78" s="161" t="e">
        <f>SUM(#REF!,#REF!,#REF!,#REF!)</f>
        <v>#REF!</v>
      </c>
      <c r="I78" s="162">
        <v>1</v>
      </c>
      <c r="J78" s="129" t="s">
        <v>32</v>
      </c>
      <c r="K78" s="158"/>
      <c r="L78" s="160" t="s">
        <v>872</v>
      </c>
      <c r="M78" s="163"/>
      <c r="N78" s="158" t="s">
        <v>884</v>
      </c>
      <c r="O78" s="158"/>
      <c r="P78" s="158"/>
      <c r="Q78" s="158"/>
      <c r="R78" s="158"/>
    </row>
    <row r="79" spans="1:18" ht="15.6" hidden="1" x14ac:dyDescent="0.3">
      <c r="A79" s="62"/>
      <c r="B79" s="164" t="s">
        <v>277</v>
      </c>
      <c r="C79" s="164" t="s">
        <v>278</v>
      </c>
      <c r="D79" s="164" t="s">
        <v>208</v>
      </c>
      <c r="E79" s="164" t="s">
        <v>596</v>
      </c>
      <c r="F79" s="165">
        <v>25000000</v>
      </c>
      <c r="G79" s="129" t="s">
        <v>556</v>
      </c>
      <c r="H79" s="161" t="e">
        <f>SUM(#REF!,#REF!,#REF!,#REF!)</f>
        <v>#REF!</v>
      </c>
      <c r="I79" s="166">
        <v>0</v>
      </c>
      <c r="J79" s="129" t="s">
        <v>48</v>
      </c>
      <c r="K79" s="164" t="s">
        <v>608</v>
      </c>
      <c r="L79" s="129" t="s">
        <v>872</v>
      </c>
      <c r="M79" s="167">
        <v>23</v>
      </c>
      <c r="N79" s="164" t="s">
        <v>885</v>
      </c>
      <c r="O79" s="164"/>
      <c r="P79" s="164"/>
      <c r="Q79" s="164"/>
      <c r="R79" s="164"/>
    </row>
    <row r="80" spans="1:18" ht="15.6" hidden="1" x14ac:dyDescent="0.3">
      <c r="A80" s="62"/>
      <c r="B80" s="140" t="s">
        <v>37</v>
      </c>
      <c r="C80" s="140" t="s">
        <v>38</v>
      </c>
      <c r="D80" s="140" t="s">
        <v>31</v>
      </c>
      <c r="E80" s="140" t="s">
        <v>235</v>
      </c>
      <c r="F80" s="155">
        <v>30000000</v>
      </c>
      <c r="G80" s="141" t="s">
        <v>503</v>
      </c>
      <c r="H80" s="161">
        <v>500</v>
      </c>
      <c r="I80" s="156">
        <v>1</v>
      </c>
      <c r="J80" s="141" t="s">
        <v>48</v>
      </c>
      <c r="K80" s="140" t="s">
        <v>100</v>
      </c>
      <c r="L80" s="141" t="s">
        <v>35</v>
      </c>
      <c r="M80" s="157">
        <v>18</v>
      </c>
      <c r="N80" s="140" t="s">
        <v>886</v>
      </c>
      <c r="O80" s="140"/>
      <c r="P80" s="140"/>
      <c r="Q80" s="140"/>
      <c r="R80" s="140"/>
    </row>
    <row r="81" spans="1:18" ht="15.6" hidden="1" x14ac:dyDescent="0.3">
      <c r="A81" s="62"/>
      <c r="B81" s="140" t="s">
        <v>247</v>
      </c>
      <c r="C81" s="140" t="s">
        <v>248</v>
      </c>
      <c r="D81" s="140" t="s">
        <v>115</v>
      </c>
      <c r="E81" s="140" t="s">
        <v>596</v>
      </c>
      <c r="F81" s="155">
        <v>5000000</v>
      </c>
      <c r="G81" s="141" t="s">
        <v>503</v>
      </c>
      <c r="H81" s="161"/>
      <c r="I81" s="156">
        <v>0</v>
      </c>
      <c r="J81" s="141" t="s">
        <v>48</v>
      </c>
      <c r="K81" s="140" t="s">
        <v>100</v>
      </c>
      <c r="L81" s="141" t="s">
        <v>35</v>
      </c>
      <c r="M81" s="157">
        <v>2</v>
      </c>
      <c r="N81" s="140" t="s">
        <v>887</v>
      </c>
      <c r="O81" s="140"/>
      <c r="P81" s="140"/>
      <c r="Q81" s="140"/>
      <c r="R81" s="140"/>
    </row>
    <row r="82" spans="1:18" ht="15.6" hidden="1" x14ac:dyDescent="0.3">
      <c r="A82" s="62"/>
      <c r="B82" s="140" t="s">
        <v>143</v>
      </c>
      <c r="C82" s="140" t="s">
        <v>144</v>
      </c>
      <c r="D82" s="140" t="s">
        <v>31</v>
      </c>
      <c r="E82" s="140" t="s">
        <v>596</v>
      </c>
      <c r="F82" s="155">
        <v>15500000</v>
      </c>
      <c r="G82" s="141" t="s">
        <v>503</v>
      </c>
      <c r="H82" s="161">
        <v>497</v>
      </c>
      <c r="I82" s="156">
        <v>0.95</v>
      </c>
      <c r="J82" s="141" t="s">
        <v>48</v>
      </c>
      <c r="K82" s="140" t="s">
        <v>100</v>
      </c>
      <c r="L82" s="141" t="s">
        <v>35</v>
      </c>
      <c r="M82" s="157"/>
      <c r="N82" s="140" t="s">
        <v>605</v>
      </c>
      <c r="O82" s="140"/>
      <c r="P82" s="140"/>
      <c r="Q82" s="140"/>
      <c r="R82" s="140"/>
    </row>
    <row r="83" spans="1:18" ht="15.6" hidden="1" x14ac:dyDescent="0.3">
      <c r="A83" s="62"/>
      <c r="B83" s="140" t="s">
        <v>264</v>
      </c>
      <c r="C83" s="140" t="s">
        <v>265</v>
      </c>
      <c r="D83" s="140" t="s">
        <v>266</v>
      </c>
      <c r="E83" s="140" t="s">
        <v>596</v>
      </c>
      <c r="F83" s="155">
        <v>9000000</v>
      </c>
      <c r="G83" s="141" t="s">
        <v>503</v>
      </c>
      <c r="H83" s="161">
        <v>400</v>
      </c>
      <c r="I83" s="156">
        <v>0.75</v>
      </c>
      <c r="J83" s="141" t="s">
        <v>48</v>
      </c>
      <c r="K83" s="140" t="s">
        <v>100</v>
      </c>
      <c r="L83" s="141" t="s">
        <v>35</v>
      </c>
      <c r="M83" s="157"/>
      <c r="N83" s="140" t="s">
        <v>603</v>
      </c>
      <c r="O83" s="140"/>
      <c r="P83" s="140"/>
      <c r="Q83" s="140"/>
      <c r="R83" s="140"/>
    </row>
    <row r="84" spans="1:18" ht="15.6" hidden="1" x14ac:dyDescent="0.3">
      <c r="A84" s="62"/>
      <c r="B84" s="140" t="s">
        <v>330</v>
      </c>
      <c r="C84" s="140" t="s">
        <v>331</v>
      </c>
      <c r="D84" s="140" t="s">
        <v>31</v>
      </c>
      <c r="E84" s="140" t="s">
        <v>596</v>
      </c>
      <c r="F84" s="155">
        <v>30000000</v>
      </c>
      <c r="G84" s="141" t="s">
        <v>503</v>
      </c>
      <c r="H84" s="161">
        <v>400</v>
      </c>
      <c r="I84" s="156">
        <v>0.98</v>
      </c>
      <c r="J84" s="141" t="s">
        <v>48</v>
      </c>
      <c r="K84" s="140" t="s">
        <v>100</v>
      </c>
      <c r="L84" s="141" t="s">
        <v>35</v>
      </c>
      <c r="M84" s="157"/>
      <c r="N84" s="140" t="s">
        <v>888</v>
      </c>
      <c r="O84" s="140"/>
      <c r="P84" s="140"/>
      <c r="Q84" s="140"/>
      <c r="R84" s="140"/>
    </row>
    <row r="85" spans="1:18" ht="15.6" hidden="1" x14ac:dyDescent="0.3">
      <c r="A85" s="62"/>
      <c r="B85" s="140" t="s">
        <v>284</v>
      </c>
      <c r="C85" s="140" t="s">
        <v>285</v>
      </c>
      <c r="D85" s="140" t="s">
        <v>57</v>
      </c>
      <c r="E85" s="164" t="s">
        <v>596</v>
      </c>
      <c r="F85" s="155" t="s">
        <v>42</v>
      </c>
      <c r="G85" s="141" t="s">
        <v>503</v>
      </c>
      <c r="H85" s="161">
        <v>674</v>
      </c>
      <c r="I85" s="156">
        <v>0.3</v>
      </c>
      <c r="J85" s="141" t="s">
        <v>48</v>
      </c>
      <c r="K85" s="140" t="s">
        <v>100</v>
      </c>
      <c r="L85" s="141" t="s">
        <v>872</v>
      </c>
      <c r="M85" s="157"/>
      <c r="N85" s="140" t="s">
        <v>889</v>
      </c>
      <c r="O85" s="140"/>
      <c r="P85" s="140"/>
      <c r="Q85" s="140"/>
      <c r="R85" s="140"/>
    </row>
    <row r="86" spans="1:18" ht="15.6" hidden="1" x14ac:dyDescent="0.3">
      <c r="A86" s="62"/>
      <c r="B86" s="164" t="s">
        <v>275</v>
      </c>
      <c r="C86" s="164" t="s">
        <v>276</v>
      </c>
      <c r="D86" s="164" t="s">
        <v>115</v>
      </c>
      <c r="E86" s="164" t="s">
        <v>596</v>
      </c>
      <c r="F86" s="165">
        <v>7500000</v>
      </c>
      <c r="G86" s="129" t="s">
        <v>503</v>
      </c>
      <c r="H86" s="161">
        <v>200</v>
      </c>
      <c r="I86" s="166">
        <v>1</v>
      </c>
      <c r="J86" s="129" t="s">
        <v>48</v>
      </c>
      <c r="K86" s="164" t="s">
        <v>100</v>
      </c>
      <c r="L86" s="141" t="s">
        <v>872</v>
      </c>
      <c r="M86" s="167"/>
      <c r="N86" s="164" t="s">
        <v>890</v>
      </c>
      <c r="O86" s="164"/>
      <c r="P86" s="164"/>
      <c r="Q86" s="164"/>
      <c r="R86" s="164"/>
    </row>
    <row r="87" spans="1:18" ht="15.6" hidden="1" x14ac:dyDescent="0.3">
      <c r="A87" s="62"/>
      <c r="B87" s="164" t="s">
        <v>233</v>
      </c>
      <c r="C87" s="164" t="s">
        <v>234</v>
      </c>
      <c r="D87" s="164" t="s">
        <v>75</v>
      </c>
      <c r="E87" s="164" t="s">
        <v>596</v>
      </c>
      <c r="F87" s="165">
        <v>10000000</v>
      </c>
      <c r="G87" s="129" t="s">
        <v>503</v>
      </c>
      <c r="H87" s="161">
        <v>100</v>
      </c>
      <c r="I87" s="166">
        <v>1</v>
      </c>
      <c r="J87" s="129" t="s">
        <v>48</v>
      </c>
      <c r="K87" s="164" t="s">
        <v>547</v>
      </c>
      <c r="L87" s="141" t="s">
        <v>35</v>
      </c>
      <c r="M87" s="167"/>
      <c r="N87" s="164" t="s">
        <v>891</v>
      </c>
      <c r="O87" s="164"/>
      <c r="P87" s="164"/>
      <c r="Q87" s="164"/>
      <c r="R87" s="164"/>
    </row>
    <row r="88" spans="1:18" ht="15.6" hidden="1" x14ac:dyDescent="0.3">
      <c r="A88" s="62"/>
      <c r="B88" s="140" t="s">
        <v>240</v>
      </c>
      <c r="C88" s="140" t="s">
        <v>238</v>
      </c>
      <c r="D88" s="140" t="s">
        <v>31</v>
      </c>
      <c r="E88" s="164" t="s">
        <v>596</v>
      </c>
      <c r="F88" s="155">
        <v>11000000</v>
      </c>
      <c r="G88" s="141" t="s">
        <v>503</v>
      </c>
      <c r="H88" s="173" t="e">
        <f>SUM(#REF!,#REF!,#REF!,#REF!)</f>
        <v>#REF!</v>
      </c>
      <c r="I88" s="156">
        <v>0.8</v>
      </c>
      <c r="J88" s="141" t="s">
        <v>32</v>
      </c>
      <c r="K88" s="140" t="s">
        <v>100</v>
      </c>
      <c r="L88" s="141" t="s">
        <v>35</v>
      </c>
      <c r="M88" s="157">
        <v>2.86</v>
      </c>
      <c r="N88" s="140" t="s">
        <v>601</v>
      </c>
      <c r="O88" s="140"/>
      <c r="P88" s="140"/>
      <c r="Q88" s="140"/>
      <c r="R88" s="140"/>
    </row>
    <row r="89" spans="1:18" ht="15.6" hidden="1" x14ac:dyDescent="0.3">
      <c r="A89" s="62"/>
      <c r="B89" s="164" t="s">
        <v>241</v>
      </c>
      <c r="C89" s="164" t="s">
        <v>242</v>
      </c>
      <c r="D89" s="164" t="s">
        <v>208</v>
      </c>
      <c r="E89" s="164" t="s">
        <v>596</v>
      </c>
      <c r="F89" s="165">
        <v>8000000</v>
      </c>
      <c r="G89" s="129" t="s">
        <v>503</v>
      </c>
      <c r="H89" s="161"/>
      <c r="I89" s="166">
        <v>1</v>
      </c>
      <c r="J89" s="129" t="s">
        <v>32</v>
      </c>
      <c r="K89" s="164" t="s">
        <v>100</v>
      </c>
      <c r="L89" s="129" t="s">
        <v>872</v>
      </c>
      <c r="M89" s="167"/>
      <c r="N89" s="164" t="s">
        <v>259</v>
      </c>
      <c r="O89" s="164"/>
      <c r="P89" s="164"/>
      <c r="Q89" s="164"/>
      <c r="R89" s="164"/>
    </row>
    <row r="90" spans="1:18" ht="15.6" hidden="1" x14ac:dyDescent="0.3">
      <c r="A90" s="62"/>
      <c r="B90" s="164" t="s">
        <v>244</v>
      </c>
      <c r="C90" s="164" t="s">
        <v>602</v>
      </c>
      <c r="D90" s="164" t="s">
        <v>31</v>
      </c>
      <c r="E90" s="164" t="s">
        <v>596</v>
      </c>
      <c r="F90" s="165">
        <v>5000000</v>
      </c>
      <c r="G90" s="129" t="s">
        <v>503</v>
      </c>
      <c r="H90" s="161">
        <v>50</v>
      </c>
      <c r="I90" s="166">
        <v>0.95</v>
      </c>
      <c r="J90" s="129" t="s">
        <v>48</v>
      </c>
      <c r="K90" s="164" t="s">
        <v>100</v>
      </c>
      <c r="L90" s="129" t="s">
        <v>872</v>
      </c>
      <c r="M90" s="167"/>
      <c r="N90" s="164" t="s">
        <v>892</v>
      </c>
      <c r="O90" s="164"/>
      <c r="P90" s="164"/>
      <c r="Q90" s="164"/>
      <c r="R90" s="164"/>
    </row>
    <row r="91" spans="1:18" ht="15.6" hidden="1" x14ac:dyDescent="0.3">
      <c r="A91" s="62"/>
      <c r="B91" s="164" t="s">
        <v>893</v>
      </c>
      <c r="C91" s="164" t="s">
        <v>238</v>
      </c>
      <c r="D91" s="164" t="s">
        <v>31</v>
      </c>
      <c r="E91" s="164" t="s">
        <v>596</v>
      </c>
      <c r="F91" s="165">
        <v>25000000</v>
      </c>
      <c r="G91" s="129" t="s">
        <v>503</v>
      </c>
      <c r="H91" s="161"/>
      <c r="I91" s="166">
        <v>0.8</v>
      </c>
      <c r="J91" s="129" t="s">
        <v>48</v>
      </c>
      <c r="K91" s="164" t="s">
        <v>100</v>
      </c>
      <c r="L91" s="141" t="s">
        <v>35</v>
      </c>
      <c r="M91" s="167"/>
      <c r="N91" s="164" t="s">
        <v>894</v>
      </c>
      <c r="O91" s="164"/>
      <c r="P91" s="164"/>
      <c r="Q91" s="164"/>
      <c r="R91" s="164"/>
    </row>
    <row r="92" spans="1:18" ht="15.6" hidden="1" x14ac:dyDescent="0.3">
      <c r="A92" s="62"/>
      <c r="B92" s="164" t="s">
        <v>250</v>
      </c>
      <c r="C92" s="164" t="s">
        <v>251</v>
      </c>
      <c r="D92" s="164" t="s">
        <v>252</v>
      </c>
      <c r="E92" s="164" t="s">
        <v>596</v>
      </c>
      <c r="F92" s="165">
        <v>7000000</v>
      </c>
      <c r="G92" s="129" t="s">
        <v>503</v>
      </c>
      <c r="H92" s="161"/>
      <c r="I92" s="166">
        <v>0.25</v>
      </c>
      <c r="J92" s="129" t="s">
        <v>32</v>
      </c>
      <c r="K92" s="164" t="s">
        <v>547</v>
      </c>
      <c r="L92" s="129" t="s">
        <v>872</v>
      </c>
      <c r="M92" s="167"/>
      <c r="N92" s="164" t="s">
        <v>895</v>
      </c>
      <c r="O92" s="164"/>
      <c r="P92" s="164"/>
      <c r="Q92" s="164"/>
      <c r="R92" s="164"/>
    </row>
    <row r="93" spans="1:18" ht="15.6" hidden="1" x14ac:dyDescent="0.3">
      <c r="A93" s="62"/>
      <c r="B93" s="164" t="s">
        <v>254</v>
      </c>
      <c r="C93" s="164" t="s">
        <v>255</v>
      </c>
      <c r="D93" s="164" t="s">
        <v>57</v>
      </c>
      <c r="E93" s="164" t="s">
        <v>596</v>
      </c>
      <c r="F93" s="165">
        <v>5000000</v>
      </c>
      <c r="G93" s="129" t="s">
        <v>503</v>
      </c>
      <c r="H93" s="161">
        <v>167</v>
      </c>
      <c r="I93" s="166">
        <v>0.75</v>
      </c>
      <c r="J93" s="129" t="s">
        <v>32</v>
      </c>
      <c r="K93" s="164" t="s">
        <v>547</v>
      </c>
      <c r="L93" s="129" t="s">
        <v>872</v>
      </c>
      <c r="M93" s="167"/>
      <c r="N93" s="164" t="s">
        <v>896</v>
      </c>
      <c r="O93" s="164"/>
      <c r="P93" s="164"/>
      <c r="Q93" s="164"/>
      <c r="R93" s="164"/>
    </row>
    <row r="94" spans="1:18" ht="15.6" hidden="1" x14ac:dyDescent="0.3">
      <c r="A94" s="62"/>
      <c r="B94" s="164" t="s">
        <v>257</v>
      </c>
      <c r="C94" s="164" t="s">
        <v>258</v>
      </c>
      <c r="D94" s="164" t="s">
        <v>215</v>
      </c>
      <c r="E94" s="164" t="s">
        <v>596</v>
      </c>
      <c r="F94" s="165">
        <v>8000000</v>
      </c>
      <c r="G94" s="129" t="s">
        <v>503</v>
      </c>
      <c r="H94" s="161">
        <v>239</v>
      </c>
      <c r="I94" s="166">
        <v>0.9</v>
      </c>
      <c r="J94" s="129" t="s">
        <v>32</v>
      </c>
      <c r="K94" s="164" t="s">
        <v>547</v>
      </c>
      <c r="L94" s="129" t="s">
        <v>872</v>
      </c>
      <c r="M94" s="167"/>
      <c r="N94" s="164" t="s">
        <v>897</v>
      </c>
      <c r="O94" s="164"/>
      <c r="P94" s="164"/>
      <c r="Q94" s="164"/>
      <c r="R94" s="164"/>
    </row>
    <row r="95" spans="1:18" ht="15.6" hidden="1" x14ac:dyDescent="0.3">
      <c r="A95" s="62"/>
      <c r="B95" s="164" t="s">
        <v>260</v>
      </c>
      <c r="C95" s="164" t="s">
        <v>261</v>
      </c>
      <c r="D95" s="164" t="s">
        <v>262</v>
      </c>
      <c r="E95" s="164" t="s">
        <v>596</v>
      </c>
      <c r="F95" s="165">
        <v>25000000</v>
      </c>
      <c r="G95" s="129" t="s">
        <v>503</v>
      </c>
      <c r="H95" s="161">
        <v>400</v>
      </c>
      <c r="I95" s="166">
        <v>0.9</v>
      </c>
      <c r="J95" s="129" t="s">
        <v>32</v>
      </c>
      <c r="K95" s="164" t="s">
        <v>100</v>
      </c>
      <c r="L95" s="141" t="s">
        <v>35</v>
      </c>
      <c r="M95" s="167"/>
      <c r="N95" s="164" t="s">
        <v>898</v>
      </c>
      <c r="O95" s="164"/>
      <c r="P95" s="164"/>
      <c r="Q95" s="164"/>
      <c r="R95" s="164"/>
    </row>
    <row r="96" spans="1:18" ht="15.6" hidden="1" x14ac:dyDescent="0.3">
      <c r="A96" s="62"/>
      <c r="B96" s="164" t="s">
        <v>606</v>
      </c>
      <c r="C96" s="164" t="s">
        <v>607</v>
      </c>
      <c r="D96" s="164" t="s">
        <v>75</v>
      </c>
      <c r="E96" s="164" t="s">
        <v>117</v>
      </c>
      <c r="F96" s="165">
        <v>10000000</v>
      </c>
      <c r="G96" s="129" t="s">
        <v>503</v>
      </c>
      <c r="H96" s="161" t="s">
        <v>42</v>
      </c>
      <c r="I96" s="166"/>
      <c r="J96" s="129" t="s">
        <v>32</v>
      </c>
      <c r="K96" s="164" t="s">
        <v>100</v>
      </c>
      <c r="L96" s="129" t="s">
        <v>872</v>
      </c>
      <c r="M96" s="167"/>
      <c r="N96" s="164"/>
      <c r="O96" s="164"/>
      <c r="P96" s="164"/>
      <c r="Q96" s="164"/>
      <c r="R96" s="164"/>
    </row>
    <row r="97" spans="1:18" ht="15.6" hidden="1" x14ac:dyDescent="0.3">
      <c r="A97" s="62"/>
      <c r="B97" s="140" t="s">
        <v>339</v>
      </c>
      <c r="C97" s="140" t="s">
        <v>340</v>
      </c>
      <c r="D97" s="140" t="s">
        <v>31</v>
      </c>
      <c r="E97" s="164" t="s">
        <v>596</v>
      </c>
      <c r="F97" s="155">
        <v>10000000</v>
      </c>
      <c r="G97" s="141" t="s">
        <v>503</v>
      </c>
      <c r="H97" s="161">
        <v>50</v>
      </c>
      <c r="I97" s="156">
        <v>0.95</v>
      </c>
      <c r="J97" s="141" t="s">
        <v>48</v>
      </c>
      <c r="K97" s="140" t="s">
        <v>100</v>
      </c>
      <c r="L97" s="141" t="s">
        <v>35</v>
      </c>
      <c r="M97" s="157"/>
      <c r="N97" s="140"/>
      <c r="O97" s="140"/>
      <c r="P97" s="140"/>
      <c r="Q97" s="140"/>
      <c r="R97" s="140"/>
    </row>
    <row r="98" spans="1:18" ht="15.6" hidden="1" x14ac:dyDescent="0.3">
      <c r="A98" s="62"/>
      <c r="B98" s="140" t="s">
        <v>271</v>
      </c>
      <c r="C98" s="140" t="s">
        <v>272</v>
      </c>
      <c r="D98" s="140" t="s">
        <v>273</v>
      </c>
      <c r="E98" s="164" t="s">
        <v>596</v>
      </c>
      <c r="F98" s="155">
        <v>7500000</v>
      </c>
      <c r="G98" s="141" t="s">
        <v>503</v>
      </c>
      <c r="H98" s="161">
        <v>210</v>
      </c>
      <c r="I98" s="156">
        <v>0.85</v>
      </c>
      <c r="J98" s="141" t="s">
        <v>48</v>
      </c>
      <c r="K98" s="140" t="s">
        <v>100</v>
      </c>
      <c r="L98" s="141" t="s">
        <v>35</v>
      </c>
      <c r="M98" s="157"/>
      <c r="N98" s="140" t="s">
        <v>604</v>
      </c>
      <c r="O98" s="140"/>
      <c r="P98" s="140"/>
      <c r="Q98" s="140"/>
      <c r="R98" s="140"/>
    </row>
    <row r="99" spans="1:18" ht="15.6" hidden="1" x14ac:dyDescent="0.3">
      <c r="A99" s="62"/>
      <c r="B99" s="164" t="s">
        <v>237</v>
      </c>
      <c r="C99" s="164" t="s">
        <v>238</v>
      </c>
      <c r="D99" s="164" t="s">
        <v>31</v>
      </c>
      <c r="E99" s="164" t="s">
        <v>596</v>
      </c>
      <c r="F99" s="165">
        <v>25000000</v>
      </c>
      <c r="G99" s="129" t="s">
        <v>503</v>
      </c>
      <c r="H99" s="161"/>
      <c r="I99" s="166"/>
      <c r="J99" s="129" t="s">
        <v>32</v>
      </c>
      <c r="K99" s="140" t="s">
        <v>100</v>
      </c>
      <c r="L99" s="141" t="s">
        <v>35</v>
      </c>
      <c r="M99" s="167"/>
      <c r="N99" s="164"/>
      <c r="O99" s="164"/>
      <c r="P99" s="164"/>
      <c r="Q99" s="164"/>
      <c r="R99" s="164"/>
    </row>
    <row r="100" spans="1:18" ht="15.6" hidden="1" x14ac:dyDescent="0.3">
      <c r="A100" s="62"/>
      <c r="B100" s="164" t="s">
        <v>268</v>
      </c>
      <c r="C100" s="164" t="s">
        <v>269</v>
      </c>
      <c r="D100" s="164" t="s">
        <v>31</v>
      </c>
      <c r="E100" s="164" t="s">
        <v>596</v>
      </c>
      <c r="F100" s="165">
        <v>12000000</v>
      </c>
      <c r="G100" s="129" t="s">
        <v>503</v>
      </c>
      <c r="H100" s="161">
        <v>100</v>
      </c>
      <c r="I100" s="166"/>
      <c r="J100" s="129" t="s">
        <v>32</v>
      </c>
      <c r="K100" s="140" t="s">
        <v>100</v>
      </c>
      <c r="L100" s="141" t="s">
        <v>35</v>
      </c>
      <c r="M100" s="167"/>
      <c r="N100" s="164"/>
      <c r="O100" s="164"/>
      <c r="P100" s="164"/>
      <c r="Q100" s="164"/>
      <c r="R100" s="164"/>
    </row>
    <row r="101" spans="1:18" ht="15.6" hidden="1" x14ac:dyDescent="0.3">
      <c r="A101" s="62"/>
      <c r="B101" s="164" t="s">
        <v>280</v>
      </c>
      <c r="C101" s="164" t="s">
        <v>281</v>
      </c>
      <c r="D101" s="164" t="s">
        <v>282</v>
      </c>
      <c r="E101" s="164" t="s">
        <v>596</v>
      </c>
      <c r="F101" s="165">
        <v>20000000</v>
      </c>
      <c r="G101" s="129" t="s">
        <v>503</v>
      </c>
      <c r="H101" s="161">
        <v>406</v>
      </c>
      <c r="I101" s="166"/>
      <c r="J101" s="129" t="s">
        <v>32</v>
      </c>
      <c r="K101" s="140" t="s">
        <v>547</v>
      </c>
      <c r="L101" s="141" t="s">
        <v>35</v>
      </c>
      <c r="M101" s="167"/>
      <c r="N101" s="164"/>
      <c r="O101" s="164"/>
      <c r="P101" s="164"/>
      <c r="Q101" s="164"/>
      <c r="R101" s="164"/>
    </row>
    <row r="102" spans="1:18" ht="15.6" hidden="1" x14ac:dyDescent="0.3">
      <c r="A102" s="62"/>
      <c r="B102" s="164" t="s">
        <v>610</v>
      </c>
      <c r="C102" s="164" t="s">
        <v>611</v>
      </c>
      <c r="D102" s="164" t="s">
        <v>72</v>
      </c>
      <c r="E102" s="164" t="s">
        <v>596</v>
      </c>
      <c r="F102" s="165">
        <v>24000000</v>
      </c>
      <c r="G102" s="129" t="s">
        <v>503</v>
      </c>
      <c r="H102" s="161">
        <v>163</v>
      </c>
      <c r="I102" s="166"/>
      <c r="J102" s="129" t="s">
        <v>32</v>
      </c>
      <c r="K102" s="140" t="s">
        <v>100</v>
      </c>
      <c r="L102" s="141" t="s">
        <v>35</v>
      </c>
      <c r="M102" s="167"/>
      <c r="N102" s="164"/>
      <c r="O102" s="164"/>
      <c r="P102" s="164"/>
      <c r="Q102" s="164"/>
      <c r="R102" s="164"/>
    </row>
    <row r="103" spans="1:18" ht="15.6" hidden="1" x14ac:dyDescent="0.3">
      <c r="A103" s="62"/>
      <c r="B103" s="164" t="s">
        <v>289</v>
      </c>
      <c r="C103" s="164" t="s">
        <v>287</v>
      </c>
      <c r="D103" s="164" t="s">
        <v>130</v>
      </c>
      <c r="E103" s="164" t="s">
        <v>596</v>
      </c>
      <c r="F103" s="165">
        <v>4000000</v>
      </c>
      <c r="G103" s="129" t="s">
        <v>503</v>
      </c>
      <c r="H103" s="161">
        <v>200</v>
      </c>
      <c r="I103" s="166"/>
      <c r="J103" s="129" t="s">
        <v>48</v>
      </c>
      <c r="K103" s="140" t="s">
        <v>100</v>
      </c>
      <c r="L103" s="141" t="s">
        <v>872</v>
      </c>
      <c r="M103" s="167"/>
      <c r="N103" s="164"/>
      <c r="O103" s="164"/>
      <c r="P103" s="164"/>
      <c r="Q103" s="164"/>
      <c r="R103" s="164"/>
    </row>
    <row r="104" spans="1:18" ht="15.6" hidden="1" x14ac:dyDescent="0.3">
      <c r="A104" s="62"/>
      <c r="B104" s="164" t="s">
        <v>290</v>
      </c>
      <c r="C104" s="164" t="s">
        <v>291</v>
      </c>
      <c r="D104" s="164" t="s">
        <v>53</v>
      </c>
      <c r="E104" s="164" t="s">
        <v>596</v>
      </c>
      <c r="F104" s="165">
        <v>16000000</v>
      </c>
      <c r="G104" s="129" t="s">
        <v>503</v>
      </c>
      <c r="H104" s="161">
        <v>136</v>
      </c>
      <c r="I104" s="166"/>
      <c r="J104" s="129" t="s">
        <v>48</v>
      </c>
      <c r="K104" s="140" t="s">
        <v>100</v>
      </c>
      <c r="L104" s="141" t="s">
        <v>872</v>
      </c>
      <c r="M104" s="167"/>
      <c r="N104" s="164"/>
      <c r="O104" s="164"/>
      <c r="P104" s="164"/>
      <c r="Q104" s="164"/>
      <c r="R104" s="164"/>
    </row>
    <row r="105" spans="1:18" ht="15.6" hidden="1" x14ac:dyDescent="0.3">
      <c r="A105" s="62"/>
      <c r="B105" s="164" t="s">
        <v>293</v>
      </c>
      <c r="C105" s="164" t="s">
        <v>294</v>
      </c>
      <c r="D105" s="164" t="s">
        <v>295</v>
      </c>
      <c r="E105" s="164" t="s">
        <v>596</v>
      </c>
      <c r="F105" s="165">
        <v>15000000</v>
      </c>
      <c r="G105" s="129" t="s">
        <v>503</v>
      </c>
      <c r="H105" s="161">
        <v>516</v>
      </c>
      <c r="I105" s="166"/>
      <c r="J105" s="129" t="s">
        <v>48</v>
      </c>
      <c r="K105" s="140" t="s">
        <v>100</v>
      </c>
      <c r="L105" s="141" t="s">
        <v>872</v>
      </c>
      <c r="M105" s="167"/>
      <c r="N105" s="164"/>
      <c r="O105" s="164"/>
      <c r="P105" s="164"/>
      <c r="Q105" s="164"/>
      <c r="R105" s="164"/>
    </row>
    <row r="106" spans="1:18" ht="15.6" hidden="1" x14ac:dyDescent="0.3">
      <c r="A106" s="62"/>
      <c r="B106" s="164" t="s">
        <v>297</v>
      </c>
      <c r="C106" s="164" t="s">
        <v>298</v>
      </c>
      <c r="D106" s="164" t="s">
        <v>299</v>
      </c>
      <c r="E106" s="164" t="s">
        <v>596</v>
      </c>
      <c r="F106" s="165">
        <v>10000000</v>
      </c>
      <c r="G106" s="129" t="s">
        <v>503</v>
      </c>
      <c r="H106" s="161">
        <v>350</v>
      </c>
      <c r="I106" s="166"/>
      <c r="J106" s="129" t="s">
        <v>32</v>
      </c>
      <c r="K106" s="140" t="s">
        <v>547</v>
      </c>
      <c r="L106" s="141" t="s">
        <v>872</v>
      </c>
      <c r="M106" s="167"/>
      <c r="N106" s="164"/>
      <c r="O106" s="164"/>
      <c r="P106" s="164"/>
      <c r="Q106" s="164"/>
      <c r="R106" s="164"/>
    </row>
    <row r="107" spans="1:18" ht="15.6" hidden="1" x14ac:dyDescent="0.3">
      <c r="A107" s="62"/>
      <c r="B107" s="164" t="s">
        <v>301</v>
      </c>
      <c r="C107" s="164" t="s">
        <v>302</v>
      </c>
      <c r="D107" s="164" t="s">
        <v>31</v>
      </c>
      <c r="E107" s="164" t="s">
        <v>596</v>
      </c>
      <c r="F107" s="165">
        <v>10900000</v>
      </c>
      <c r="G107" s="129" t="s">
        <v>503</v>
      </c>
      <c r="H107" s="161">
        <v>600</v>
      </c>
      <c r="I107" s="166"/>
      <c r="J107" s="129" t="s">
        <v>32</v>
      </c>
      <c r="K107" s="140" t="s">
        <v>504</v>
      </c>
      <c r="L107" s="141" t="s">
        <v>872</v>
      </c>
      <c r="M107" s="167"/>
      <c r="N107" s="164"/>
      <c r="O107" s="164"/>
      <c r="P107" s="164"/>
      <c r="Q107" s="164"/>
      <c r="R107" s="164"/>
    </row>
    <row r="108" spans="1:18" ht="15.6" hidden="1" x14ac:dyDescent="0.3">
      <c r="A108" s="62"/>
      <c r="B108" s="164" t="s">
        <v>304</v>
      </c>
      <c r="C108" s="164" t="s">
        <v>305</v>
      </c>
      <c r="D108" s="164" t="s">
        <v>31</v>
      </c>
      <c r="E108" s="164" t="s">
        <v>596</v>
      </c>
      <c r="F108" s="165">
        <v>20000000</v>
      </c>
      <c r="G108" s="129" t="s">
        <v>503</v>
      </c>
      <c r="H108" s="161">
        <v>36</v>
      </c>
      <c r="I108" s="166"/>
      <c r="J108" s="129" t="s">
        <v>32</v>
      </c>
      <c r="K108" s="164" t="s">
        <v>100</v>
      </c>
      <c r="L108" s="141" t="s">
        <v>35</v>
      </c>
      <c r="M108" s="167"/>
      <c r="N108" s="164"/>
      <c r="O108" s="164"/>
      <c r="P108" s="164"/>
      <c r="Q108" s="164"/>
      <c r="R108" s="164"/>
    </row>
    <row r="109" spans="1:18" ht="15.6" hidden="1" x14ac:dyDescent="0.3">
      <c r="A109" s="62"/>
      <c r="B109" s="164" t="s">
        <v>307</v>
      </c>
      <c r="C109" s="164" t="s">
        <v>308</v>
      </c>
      <c r="D109" s="164" t="s">
        <v>75</v>
      </c>
      <c r="E109" s="164" t="s">
        <v>596</v>
      </c>
      <c r="F109" s="165">
        <v>14000000</v>
      </c>
      <c r="G109" s="129" t="s">
        <v>503</v>
      </c>
      <c r="H109" s="161">
        <v>620</v>
      </c>
      <c r="I109" s="166"/>
      <c r="J109" s="129" t="s">
        <v>48</v>
      </c>
      <c r="K109" s="164" t="s">
        <v>100</v>
      </c>
      <c r="L109" s="141" t="s">
        <v>872</v>
      </c>
      <c r="M109" s="167"/>
      <c r="N109" s="164"/>
      <c r="O109" s="164"/>
      <c r="P109" s="164"/>
      <c r="Q109" s="164"/>
      <c r="R109" s="164"/>
    </row>
    <row r="110" spans="1:18" ht="15.6" hidden="1" x14ac:dyDescent="0.3">
      <c r="A110" s="62"/>
      <c r="B110" s="164" t="s">
        <v>310</v>
      </c>
      <c r="C110" s="164" t="s">
        <v>287</v>
      </c>
      <c r="D110" s="164" t="s">
        <v>130</v>
      </c>
      <c r="E110" s="164" t="s">
        <v>596</v>
      </c>
      <c r="F110" s="165">
        <v>8000000</v>
      </c>
      <c r="G110" s="129" t="s">
        <v>503</v>
      </c>
      <c r="H110" s="161">
        <v>240</v>
      </c>
      <c r="I110" s="166"/>
      <c r="J110" s="129" t="s">
        <v>48</v>
      </c>
      <c r="K110" s="164" t="s">
        <v>100</v>
      </c>
      <c r="L110" s="141" t="s">
        <v>872</v>
      </c>
      <c r="M110" s="167"/>
      <c r="N110" s="164"/>
      <c r="O110" s="164"/>
      <c r="P110" s="164"/>
      <c r="Q110" s="164"/>
      <c r="R110" s="164"/>
    </row>
    <row r="111" spans="1:18" ht="15.6" hidden="1" x14ac:dyDescent="0.3">
      <c r="A111" s="62"/>
      <c r="B111" s="164" t="s">
        <v>312</v>
      </c>
      <c r="C111" s="164" t="s">
        <v>313</v>
      </c>
      <c r="D111" s="164" t="s">
        <v>115</v>
      </c>
      <c r="E111" s="164" t="s">
        <v>596</v>
      </c>
      <c r="F111" s="165" t="s">
        <v>314</v>
      </c>
      <c r="G111" s="129" t="s">
        <v>503</v>
      </c>
      <c r="H111" s="161">
        <v>365</v>
      </c>
      <c r="I111" s="166"/>
      <c r="J111" s="129" t="s">
        <v>32</v>
      </c>
      <c r="K111" s="164" t="s">
        <v>100</v>
      </c>
      <c r="L111" s="141" t="s">
        <v>872</v>
      </c>
      <c r="M111" s="167"/>
      <c r="N111" s="164"/>
      <c r="O111" s="164"/>
      <c r="P111" s="164"/>
      <c r="Q111" s="164"/>
      <c r="R111" s="164"/>
    </row>
    <row r="112" spans="1:18" ht="15.6" hidden="1" x14ac:dyDescent="0.3">
      <c r="A112" s="62"/>
      <c r="B112" s="164" t="s">
        <v>316</v>
      </c>
      <c r="C112" s="164" t="s">
        <v>317</v>
      </c>
      <c r="D112" s="164" t="s">
        <v>252</v>
      </c>
      <c r="E112" s="164" t="s">
        <v>596</v>
      </c>
      <c r="F112" s="165">
        <v>10000000</v>
      </c>
      <c r="G112" s="129" t="s">
        <v>503</v>
      </c>
      <c r="H112" s="161">
        <v>210</v>
      </c>
      <c r="I112" s="166"/>
      <c r="J112" s="129" t="s">
        <v>48</v>
      </c>
      <c r="K112" s="164" t="s">
        <v>100</v>
      </c>
      <c r="L112" s="141" t="s">
        <v>35</v>
      </c>
      <c r="M112" s="167"/>
      <c r="N112" s="164"/>
      <c r="O112" s="164"/>
      <c r="P112" s="164"/>
      <c r="Q112" s="164"/>
      <c r="R112" s="164"/>
    </row>
    <row r="113" spans="1:18" ht="15.6" hidden="1" x14ac:dyDescent="0.3">
      <c r="A113" s="62"/>
      <c r="B113" s="164" t="s">
        <v>319</v>
      </c>
      <c r="C113" s="164" t="s">
        <v>317</v>
      </c>
      <c r="D113" s="164" t="s">
        <v>252</v>
      </c>
      <c r="E113" s="164" t="s">
        <v>596</v>
      </c>
      <c r="F113" s="165">
        <v>7500000</v>
      </c>
      <c r="G113" s="129" t="s">
        <v>503</v>
      </c>
      <c r="H113" s="161">
        <v>100</v>
      </c>
      <c r="I113" s="166"/>
      <c r="J113" s="129" t="s">
        <v>48</v>
      </c>
      <c r="K113" s="164" t="s">
        <v>100</v>
      </c>
      <c r="L113" s="141" t="s">
        <v>35</v>
      </c>
      <c r="M113" s="167"/>
      <c r="N113" s="164"/>
      <c r="O113" s="164"/>
      <c r="P113" s="164"/>
      <c r="Q113" s="164"/>
      <c r="R113" s="164"/>
    </row>
    <row r="114" spans="1:18" ht="15.6" hidden="1" x14ac:dyDescent="0.3">
      <c r="A114" s="62"/>
      <c r="B114" s="164" t="s">
        <v>321</v>
      </c>
      <c r="C114" s="164" t="s">
        <v>317</v>
      </c>
      <c r="D114" s="164" t="s">
        <v>252</v>
      </c>
      <c r="E114" s="164" t="s">
        <v>596</v>
      </c>
      <c r="F114" s="165">
        <v>7500000</v>
      </c>
      <c r="G114" s="129" t="s">
        <v>503</v>
      </c>
      <c r="H114" s="161">
        <v>150</v>
      </c>
      <c r="I114" s="166"/>
      <c r="J114" s="129" t="s">
        <v>48</v>
      </c>
      <c r="K114" s="164" t="s">
        <v>100</v>
      </c>
      <c r="L114" s="141" t="s">
        <v>35</v>
      </c>
      <c r="M114" s="167"/>
      <c r="N114" s="164"/>
      <c r="O114" s="164"/>
      <c r="P114" s="164"/>
      <c r="Q114" s="164"/>
      <c r="R114" s="164"/>
    </row>
    <row r="115" spans="1:18" ht="15.6" hidden="1" x14ac:dyDescent="0.3">
      <c r="A115" s="62"/>
      <c r="B115" s="164" t="s">
        <v>323</v>
      </c>
      <c r="C115" s="164" t="s">
        <v>324</v>
      </c>
      <c r="D115" s="164" t="s">
        <v>325</v>
      </c>
      <c r="E115" s="164" t="s">
        <v>596</v>
      </c>
      <c r="F115" s="165" t="s">
        <v>314</v>
      </c>
      <c r="G115" s="129" t="s">
        <v>503</v>
      </c>
      <c r="H115" s="161">
        <v>200</v>
      </c>
      <c r="I115" s="166"/>
      <c r="J115" s="129" t="s">
        <v>32</v>
      </c>
      <c r="K115" s="164" t="s">
        <v>100</v>
      </c>
      <c r="L115" s="141" t="s">
        <v>872</v>
      </c>
      <c r="M115" s="167"/>
      <c r="N115" s="164"/>
      <c r="O115" s="164"/>
      <c r="P115" s="164"/>
      <c r="Q115" s="164"/>
      <c r="R115" s="164"/>
    </row>
    <row r="116" spans="1:18" ht="15.6" hidden="1" x14ac:dyDescent="0.3">
      <c r="A116" s="62"/>
      <c r="B116" s="164" t="s">
        <v>327</v>
      </c>
      <c r="C116" s="164" t="s">
        <v>328</v>
      </c>
      <c r="D116" s="164" t="s">
        <v>75</v>
      </c>
      <c r="E116" s="164" t="s">
        <v>596</v>
      </c>
      <c r="F116" s="165">
        <v>2400000</v>
      </c>
      <c r="G116" s="129" t="s">
        <v>503</v>
      </c>
      <c r="H116" s="161">
        <v>226</v>
      </c>
      <c r="I116" s="166"/>
      <c r="J116" s="129" t="s">
        <v>32</v>
      </c>
      <c r="K116" s="140" t="s">
        <v>547</v>
      </c>
      <c r="L116" s="141" t="s">
        <v>35</v>
      </c>
      <c r="M116" s="167"/>
      <c r="N116" s="164"/>
      <c r="O116" s="164"/>
      <c r="P116" s="164"/>
      <c r="Q116" s="164"/>
      <c r="R116" s="164"/>
    </row>
    <row r="117" spans="1:18" ht="15.6" hidden="1" x14ac:dyDescent="0.3">
      <c r="A117" s="62"/>
      <c r="B117" s="164" t="s">
        <v>333</v>
      </c>
      <c r="C117" s="164" t="s">
        <v>334</v>
      </c>
      <c r="D117" s="164" t="s">
        <v>335</v>
      </c>
      <c r="E117" s="164" t="s">
        <v>596</v>
      </c>
      <c r="F117" s="165">
        <v>6000000</v>
      </c>
      <c r="G117" s="129" t="s">
        <v>503</v>
      </c>
      <c r="H117" s="161">
        <v>40</v>
      </c>
      <c r="I117" s="166"/>
      <c r="J117" s="129" t="s">
        <v>32</v>
      </c>
      <c r="K117" s="164" t="s">
        <v>100</v>
      </c>
      <c r="L117" s="141" t="s">
        <v>872</v>
      </c>
      <c r="M117" s="167"/>
      <c r="N117" s="164"/>
      <c r="O117" s="164"/>
      <c r="P117" s="164"/>
      <c r="Q117" s="164"/>
      <c r="R117" s="164"/>
    </row>
    <row r="118" spans="1:18" ht="15.6" hidden="1" x14ac:dyDescent="0.3">
      <c r="A118" s="62"/>
      <c r="B118" s="164" t="s">
        <v>336</v>
      </c>
      <c r="C118" s="164" t="s">
        <v>337</v>
      </c>
      <c r="D118" s="164" t="s">
        <v>94</v>
      </c>
      <c r="E118" s="164" t="s">
        <v>596</v>
      </c>
      <c r="F118" s="165">
        <v>15000000</v>
      </c>
      <c r="G118" s="129" t="s">
        <v>503</v>
      </c>
      <c r="H118" s="161">
        <v>236</v>
      </c>
      <c r="I118" s="166"/>
      <c r="J118" s="129" t="s">
        <v>32</v>
      </c>
      <c r="K118" s="164" t="s">
        <v>100</v>
      </c>
      <c r="L118" s="141" t="s">
        <v>872</v>
      </c>
      <c r="M118" s="167"/>
      <c r="N118" s="164"/>
      <c r="O118" s="164"/>
      <c r="P118" s="164"/>
      <c r="Q118" s="164"/>
      <c r="R118" s="164"/>
    </row>
    <row r="119" spans="1:18" ht="15.6" hidden="1" x14ac:dyDescent="0.3">
      <c r="A119" s="62"/>
      <c r="B119" s="164" t="s">
        <v>752</v>
      </c>
      <c r="C119" s="164" t="s">
        <v>269</v>
      </c>
      <c r="D119" s="164" t="s">
        <v>31</v>
      </c>
      <c r="E119" s="164" t="s">
        <v>596</v>
      </c>
      <c r="F119" s="165">
        <v>8500000</v>
      </c>
      <c r="G119" s="129" t="s">
        <v>503</v>
      </c>
      <c r="H119" s="161">
        <v>176</v>
      </c>
      <c r="I119" s="166"/>
      <c r="J119" s="129" t="s">
        <v>32</v>
      </c>
      <c r="K119" s="164" t="s">
        <v>100</v>
      </c>
      <c r="L119" s="141" t="s">
        <v>35</v>
      </c>
      <c r="M119" s="167"/>
      <c r="N119" s="164"/>
      <c r="O119" s="164"/>
      <c r="P119" s="164"/>
      <c r="Q119" s="164"/>
      <c r="R119" s="164"/>
    </row>
    <row r="120" spans="1:18" ht="15.6" hidden="1" x14ac:dyDescent="0.3">
      <c r="A120" s="62"/>
      <c r="B120" s="164"/>
      <c r="C120" s="164"/>
      <c r="D120" s="164"/>
      <c r="E120" s="164"/>
      <c r="F120" s="165"/>
      <c r="G120" s="129"/>
      <c r="H120" s="161" t="e">
        <f>SUM(#REF!,#REF!,#REF!,#REF!)</f>
        <v>#REF!</v>
      </c>
      <c r="I120" s="166"/>
      <c r="J120" s="129"/>
      <c r="K120" s="164"/>
      <c r="L120" s="129"/>
      <c r="M120" s="167"/>
      <c r="N120" s="164"/>
      <c r="O120" s="164"/>
      <c r="P120" s="164"/>
      <c r="Q120" s="164"/>
      <c r="R120" s="164"/>
    </row>
    <row r="121" spans="1:18" ht="16.2" hidden="1" thickTop="1" x14ac:dyDescent="0.3">
      <c r="A121" s="62"/>
      <c r="B121" s="148" t="s">
        <v>899</v>
      </c>
      <c r="C121" s="168">
        <f>COUNTA(B64:B120)</f>
        <v>56</v>
      </c>
      <c r="D121" s="148"/>
      <c r="E121" s="168"/>
      <c r="F121" s="169">
        <f>SUM(F64:F120)</f>
        <v>606100000</v>
      </c>
      <c r="G121" s="168"/>
      <c r="H121" s="170" t="e">
        <f>SUM(H64:H120)</f>
        <v>#REF!</v>
      </c>
      <c r="I121" s="171"/>
      <c r="J121" s="168"/>
      <c r="K121" s="148"/>
      <c r="L121" s="148"/>
      <c r="M121" s="172"/>
      <c r="N121" s="148"/>
      <c r="O121" s="148"/>
      <c r="P121" s="148"/>
      <c r="Q121" s="148"/>
      <c r="R121" s="148"/>
    </row>
    <row r="122" spans="1:18" ht="15.6" hidden="1" x14ac:dyDescent="0.3">
      <c r="A122" s="180"/>
      <c r="B122" s="180"/>
      <c r="C122" s="180"/>
      <c r="D122" s="180"/>
      <c r="E122" s="180"/>
      <c r="F122" s="181"/>
      <c r="G122" s="181"/>
      <c r="H122" s="181"/>
      <c r="I122" s="181"/>
      <c r="J122" s="181"/>
      <c r="K122" s="180"/>
      <c r="L122" s="180"/>
      <c r="M122" s="181"/>
      <c r="N122" s="180"/>
      <c r="O122" s="180"/>
    </row>
    <row r="123" spans="1:18" ht="15.6" hidden="1" x14ac:dyDescent="0.3">
      <c r="A123" s="180"/>
      <c r="B123" s="180"/>
      <c r="C123" s="182" t="s">
        <v>459</v>
      </c>
      <c r="D123" s="180"/>
      <c r="E123" s="182" t="s">
        <v>151</v>
      </c>
      <c r="F123" s="181"/>
      <c r="G123" s="181"/>
      <c r="H123" s="181"/>
      <c r="I123" s="181"/>
      <c r="J123" s="182" t="s">
        <v>48</v>
      </c>
      <c r="K123" s="180"/>
      <c r="L123" s="180"/>
      <c r="M123" s="181"/>
      <c r="N123" s="180"/>
      <c r="O123" s="180"/>
    </row>
    <row r="124" spans="1:18" ht="15.75" customHeight="1" x14ac:dyDescent="0.3">
      <c r="A124" s="62"/>
      <c r="B124" s="185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489"/>
      <c r="P124" s="489"/>
      <c r="Q124" s="489"/>
      <c r="R124" s="490"/>
    </row>
    <row r="125" spans="1:18" ht="6.75" customHeight="1" x14ac:dyDescent="0.3">
      <c r="A125" s="180"/>
      <c r="B125" s="180"/>
      <c r="C125" s="180"/>
      <c r="D125" s="180"/>
      <c r="E125" s="180"/>
      <c r="F125" s="181"/>
      <c r="G125" s="181"/>
      <c r="H125" s="181"/>
      <c r="I125" s="181"/>
      <c r="J125" s="181"/>
      <c r="K125" s="181"/>
      <c r="L125" s="180"/>
      <c r="M125" s="180"/>
      <c r="N125" s="180"/>
      <c r="O125" s="180"/>
    </row>
    <row r="126" spans="1:18" ht="15.6" x14ac:dyDescent="0.3">
      <c r="A126" s="180"/>
      <c r="B126" s="180" t="s">
        <v>762</v>
      </c>
      <c r="C126" s="180"/>
      <c r="D126" s="180"/>
      <c r="E126" s="180"/>
      <c r="F126" s="181"/>
      <c r="G126" s="181"/>
      <c r="H126" s="181"/>
      <c r="I126" s="181"/>
      <c r="J126" s="181"/>
      <c r="K126" s="181"/>
      <c r="L126" s="180"/>
      <c r="M126" s="180"/>
      <c r="N126" s="180"/>
      <c r="O126" s="180"/>
    </row>
    <row r="127" spans="1:18" x14ac:dyDescent="0.3">
      <c r="I127" s="6"/>
      <c r="J127" s="6"/>
      <c r="K127" s="6"/>
      <c r="L127" s="6"/>
    </row>
    <row r="128" spans="1:18" x14ac:dyDescent="0.3">
      <c r="C128" s="66"/>
      <c r="I128" s="6"/>
      <c r="J128" s="6"/>
      <c r="K128" s="6"/>
      <c r="L128" s="6"/>
    </row>
    <row r="129" spans="3:18" x14ac:dyDescent="0.3">
      <c r="C129" s="66"/>
    </row>
    <row r="130" spans="3:18" x14ac:dyDescent="0.3">
      <c r="C130" s="66"/>
      <c r="R130" s="66"/>
    </row>
    <row r="131" spans="3:18" x14ac:dyDescent="0.3">
      <c r="R131" s="66"/>
    </row>
    <row r="132" spans="3:18" x14ac:dyDescent="0.3">
      <c r="R132" s="66"/>
    </row>
  </sheetData>
  <mergeCells count="4">
    <mergeCell ref="E2:F2"/>
    <mergeCell ref="H2:I2"/>
    <mergeCell ref="O12:R12"/>
    <mergeCell ref="O124:R1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446eae-85d5-4218-acf8-4d1885d041c5">
      <Terms xmlns="http://schemas.microsoft.com/office/infopath/2007/PartnerControls"/>
    </lcf76f155ced4ddcb4097134ff3c332f>
    <TaxCatchAll xmlns="0b094c1b-85c5-450a-8f8e-8c52ffb047ec" xsi:nil="true"/>
    <DateCreated xmlns="3c446eae-85d5-4218-acf8-4d1885d041c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BBD1BB214B9458E01EC852EC5A401" ma:contentTypeVersion="20" ma:contentTypeDescription="Create a new document." ma:contentTypeScope="" ma:versionID="0d1e42bb304fea47f509470795b3bfc3">
  <xsd:schema xmlns:xsd="http://www.w3.org/2001/XMLSchema" xmlns:xs="http://www.w3.org/2001/XMLSchema" xmlns:p="http://schemas.microsoft.com/office/2006/metadata/properties" xmlns:ns2="3c446eae-85d5-4218-acf8-4d1885d041c5" xmlns:ns3="0b094c1b-85c5-450a-8f8e-8c52ffb047ec" targetNamespace="http://schemas.microsoft.com/office/2006/metadata/properties" ma:root="true" ma:fieldsID="a8967a4c8a121f585e7efc74b3da331a" ns2:_="" ns3:_="">
    <xsd:import namespace="3c446eae-85d5-4218-acf8-4d1885d041c5"/>
    <xsd:import namespace="0b094c1b-85c5-450a-8f8e-8c52ffb047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DateCreat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46eae-85d5-4218-acf8-4d1885d0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14d8aa-d03f-41a6-b9cf-c83ea649d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Created" ma:index="26" nillable="true" ma:displayName="Date Created" ma:format="DateOnly" ma:internalName="DateCreated">
      <xsd:simpleType>
        <xsd:restriction base="dms:DateTim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94c1b-85c5-450a-8f8e-8c52ffb047e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922f217-6248-4a67-b2e5-76275ee35609}" ma:internalName="TaxCatchAll" ma:showField="CatchAllData" ma:web="0b094c1b-85c5-450a-8f8e-8c52ffb047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2A7746-0D56-4B64-BE97-9AD651478D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7DBD07-3A4C-4A4C-B9CC-B577E6E63D8C}">
  <ds:schemaRefs>
    <ds:schemaRef ds:uri="http://schemas.microsoft.com/office/infopath/2007/PartnerControls"/>
    <ds:schemaRef ds:uri="http://schemas.microsoft.com/office/2006/documentManagement/types"/>
    <ds:schemaRef ds:uri="http://purl.org/dc/dcmitype/"/>
    <ds:schemaRef ds:uri="0b094c1b-85c5-450a-8f8e-8c52ffb047ec"/>
    <ds:schemaRef ds:uri="http://purl.org/dc/elements/1.1/"/>
    <ds:schemaRef ds:uri="3c446eae-85d5-4218-acf8-4d1885d041c5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24A5376-731C-41BA-AC39-6924F1A8F5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446eae-85d5-4218-acf8-4d1885d041c5"/>
    <ds:schemaRef ds:uri="0b094c1b-85c5-450a-8f8e-8c52ffb047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Deal Tracker</vt:lpstr>
      <vt:lpstr>M&amp;A Deal Sheet</vt:lpstr>
      <vt:lpstr>PSA Critical Dates</vt:lpstr>
      <vt:lpstr>Regions</vt:lpstr>
      <vt:lpstr>M&amp;A Deal Sheet - Q4 BD Slide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SM-Kevin</dc:creator>
  <cp:keywords/>
  <dc:description/>
  <cp:lastModifiedBy>Brett Murphy</cp:lastModifiedBy>
  <cp:revision/>
  <dcterms:created xsi:type="dcterms:W3CDTF">2023-08-01T14:51:27Z</dcterms:created>
  <dcterms:modified xsi:type="dcterms:W3CDTF">2026-04-04T13:56:31Z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0x010100D83BBD1BB214B9458E01EC852EC5A401</vt:lpwstr>
  </property>
  <property fmtid="{D5CDD505-2E9C-101B-9397-08002B2CF9AE}" pid="3" name="MediaServiceImageTags">
    <vt:lpwstr/>
  </property>
</Properties>
</file>