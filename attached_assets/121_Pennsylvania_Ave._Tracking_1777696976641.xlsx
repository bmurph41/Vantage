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7C77CE-CB19-463D-8A4C-438818E54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Mgt. Payments" sheetId="2" r:id="rId2"/>
    <sheet name="Sheet3" sheetId="3" r:id="rId3"/>
  </sheets>
  <definedNames>
    <definedName name="_xlnm._FilterDatabase" localSheetId="0" hidden="1">Summary!$A$3:$Z$3</definedName>
  </definedNames>
  <calcPr calcId="191029"/>
</workbook>
</file>

<file path=xl/calcChain.xml><?xml version="1.0" encoding="utf-8"?>
<calcChain xmlns="http://schemas.openxmlformats.org/spreadsheetml/2006/main">
  <c r="G35" i="1" l="1"/>
  <c r="I35" i="1" s="1"/>
  <c r="L35" i="1" s="1"/>
  <c r="G34" i="1"/>
  <c r="I34" i="1" s="1"/>
  <c r="G33" i="1"/>
  <c r="I33" i="1" s="1"/>
  <c r="G32" i="1"/>
  <c r="I32" i="1" s="1"/>
  <c r="G31" i="1"/>
  <c r="I31" i="1" s="1"/>
  <c r="G30" i="1"/>
  <c r="I30" i="1" s="1"/>
  <c r="G29" i="1"/>
  <c r="I29" i="1" s="1"/>
  <c r="G28" i="1"/>
  <c r="I28" i="1" s="1"/>
  <c r="G27" i="1"/>
  <c r="I27" i="1" s="1"/>
  <c r="G26" i="1"/>
  <c r="I26" i="1" s="1"/>
  <c r="G25" i="1"/>
  <c r="I25" i="1" s="1"/>
  <c r="G24" i="1"/>
  <c r="I24" i="1" s="1"/>
  <c r="G23" i="1"/>
  <c r="I23" i="1" s="1"/>
  <c r="G22" i="1"/>
  <c r="I22" i="1" s="1"/>
  <c r="G21" i="1"/>
  <c r="I21" i="1" s="1"/>
  <c r="G20" i="1"/>
  <c r="I20" i="1" s="1"/>
  <c r="G19" i="1"/>
  <c r="G18" i="1"/>
  <c r="G17" i="1"/>
  <c r="G16" i="1"/>
  <c r="G15" i="1"/>
  <c r="G13" i="1"/>
  <c r="I13" i="1" s="1"/>
  <c r="G12" i="1"/>
  <c r="I12" i="1" s="1"/>
  <c r="G11" i="1"/>
  <c r="I11" i="1" s="1"/>
  <c r="G10" i="1"/>
  <c r="I10" i="1" s="1"/>
  <c r="G9" i="1"/>
  <c r="I9" i="1" s="1"/>
  <c r="G6" i="1"/>
  <c r="I6" i="1" s="1"/>
  <c r="L6" i="1" s="1"/>
  <c r="G5" i="1"/>
  <c r="I5" i="1" s="1"/>
  <c r="G4" i="1"/>
  <c r="I4" i="1" s="1"/>
  <c r="L4" i="1" s="1"/>
  <c r="P4" i="1" s="1"/>
  <c r="W12" i="1" l="1"/>
  <c r="L12" i="1"/>
  <c r="W16" i="1"/>
  <c r="L16" i="1"/>
  <c r="W20" i="1"/>
  <c r="L20" i="1"/>
  <c r="W24" i="1"/>
  <c r="L24" i="1"/>
  <c r="W28" i="1"/>
  <c r="L28" i="1"/>
  <c r="W32" i="1"/>
  <c r="L32" i="1"/>
  <c r="W5" i="1"/>
  <c r="L5" i="1"/>
  <c r="L11" i="1"/>
  <c r="W11" i="1"/>
  <c r="L15" i="1"/>
  <c r="W15" i="1"/>
  <c r="L19" i="1"/>
  <c r="W19" i="1"/>
  <c r="L23" i="1"/>
  <c r="W23" i="1"/>
  <c r="L27" i="1"/>
  <c r="W27" i="1"/>
  <c r="L31" i="1"/>
  <c r="W31" i="1"/>
  <c r="W10" i="1"/>
  <c r="L10" i="1"/>
  <c r="L14" i="1"/>
  <c r="W14" i="1"/>
  <c r="L18" i="1"/>
  <c r="W18" i="1"/>
  <c r="W22" i="1"/>
  <c r="L22" i="1"/>
  <c r="L26" i="1"/>
  <c r="W26" i="1"/>
  <c r="L30" i="1"/>
  <c r="W30" i="1"/>
  <c r="L34" i="1"/>
  <c r="W34" i="1"/>
  <c r="W9" i="1"/>
  <c r="L9" i="1"/>
  <c r="W13" i="1"/>
  <c r="L13" i="1"/>
  <c r="W17" i="1"/>
  <c r="L17" i="1"/>
  <c r="W21" i="1"/>
  <c r="L21" i="1"/>
  <c r="W25" i="1"/>
  <c r="L25" i="1"/>
  <c r="W29" i="1"/>
  <c r="L29" i="1"/>
  <c r="W33" i="1"/>
  <c r="L33" i="1"/>
  <c r="W4" i="1"/>
  <c r="W6" i="1"/>
  <c r="P47" i="1"/>
  <c r="G46" i="1"/>
  <c r="I46" i="1" s="1"/>
  <c r="L46" i="1" s="1"/>
  <c r="P46" i="1" s="1"/>
  <c r="G45" i="1"/>
  <c r="I45" i="1" s="1"/>
  <c r="L45" i="1" s="1"/>
  <c r="P45" i="1" s="1"/>
  <c r="G44" i="1"/>
  <c r="I44" i="1" s="1"/>
  <c r="L44" i="1" s="1"/>
  <c r="P44" i="1" s="1"/>
  <c r="G43" i="1"/>
  <c r="I43" i="1" s="1"/>
  <c r="L43" i="1" s="1"/>
  <c r="P43" i="1" s="1"/>
  <c r="G42" i="1"/>
  <c r="I42" i="1" s="1"/>
  <c r="L42" i="1" s="1"/>
  <c r="P42" i="1" s="1"/>
  <c r="I7" i="1"/>
  <c r="W7" i="1" s="1"/>
  <c r="L7" i="1"/>
  <c r="P7" i="1" s="1"/>
  <c r="W35" i="1" l="1"/>
  <c r="T7" i="1"/>
</calcChain>
</file>

<file path=xl/sharedStrings.xml><?xml version="1.0" encoding="utf-8"?>
<sst xmlns="http://schemas.openxmlformats.org/spreadsheetml/2006/main" count="71" uniqueCount="58">
  <si>
    <t>Name</t>
  </si>
  <si>
    <t xml:space="preserve">Check In </t>
  </si>
  <si>
    <t>Check Out</t>
  </si>
  <si>
    <t>Daily Rate</t>
  </si>
  <si>
    <t>Total</t>
  </si>
  <si>
    <t>Comments</t>
  </si>
  <si>
    <t xml:space="preserve">Palm Harbor, FL </t>
  </si>
  <si>
    <t>Cash Tracker</t>
  </si>
  <si>
    <t># Nights</t>
  </si>
  <si>
    <t>Phone #</t>
  </si>
  <si>
    <t>Via</t>
  </si>
  <si>
    <t>Date</t>
  </si>
  <si>
    <t>Nighly Total</t>
  </si>
  <si>
    <t>Initial Payment Date</t>
  </si>
  <si>
    <t>Final Payment Date</t>
  </si>
  <si>
    <t>Email Address</t>
  </si>
  <si>
    <t>Security Deposit</t>
  </si>
  <si>
    <t>Unit Name</t>
  </si>
  <si>
    <t>Via Payment 2</t>
  </si>
  <si>
    <t>121 Pennsylvania Ave.</t>
  </si>
  <si>
    <t>Brian Bero</t>
  </si>
  <si>
    <t>707-372-6876</t>
  </si>
  <si>
    <t>1st Payment -Deposit</t>
  </si>
  <si>
    <t xml:space="preserve">VRBO </t>
  </si>
  <si>
    <t>VRBO</t>
  </si>
  <si>
    <t>System Fees</t>
  </si>
  <si>
    <t xml:space="preserve">VRBO Booking. VRBO policy is to pay the initial payment immediately and then the 2nd payment 30 days after check in. Paid in full </t>
  </si>
  <si>
    <t xml:space="preserve">Balance </t>
  </si>
  <si>
    <t>Final Balance Due</t>
  </si>
  <si>
    <t>121 Penn</t>
  </si>
  <si>
    <t>Management Fee 12%</t>
  </si>
  <si>
    <t>Paula Coyne</t>
  </si>
  <si>
    <t>Discounts</t>
  </si>
  <si>
    <t>Service Fees</t>
  </si>
  <si>
    <t>2nd Payment</t>
  </si>
  <si>
    <t>Deann Hawthorne</t>
  </si>
  <si>
    <t xml:space="preserve">121 Pennsylvania Ave's First Booking. Received a promotional discount for being one of the first 3 bookings. </t>
  </si>
  <si>
    <t xml:space="preserve">121 Pennsylvania Ave's second Booking. Received a promotional discount for being one of the first 3 bookings. </t>
  </si>
  <si>
    <t>Jayne Porter</t>
  </si>
  <si>
    <t>702-449-4020</t>
  </si>
  <si>
    <t>Rental to Jayne and her husband David Fassett due to their Ozona home being flooded by Helene. They paid via check</t>
  </si>
  <si>
    <t>Repairs</t>
  </si>
  <si>
    <t>Zelle to Anthony</t>
  </si>
  <si>
    <t>Payments To Management Fee</t>
  </si>
  <si>
    <t>Check #</t>
  </si>
  <si>
    <t>Amount</t>
  </si>
  <si>
    <t>Cheryl Cantor</t>
  </si>
  <si>
    <t>Yianni Koullis</t>
  </si>
  <si>
    <t>Becky Johnson</t>
  </si>
  <si>
    <t>Harmony Beeman</t>
  </si>
  <si>
    <t>Airbnb</t>
  </si>
  <si>
    <t>Todd &amp; Lori Vanerstrom</t>
  </si>
  <si>
    <t>412-417-5173</t>
  </si>
  <si>
    <t>Thomas Wolstencroft</t>
  </si>
  <si>
    <t>Brian Holte</t>
  </si>
  <si>
    <t>Bill and Sue Loughlin</t>
  </si>
  <si>
    <t>Frank Wirth</t>
  </si>
  <si>
    <t>Jessica Hulings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</si>
</sst>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sz val="11"/>
      <color rgb="FF222222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5" fillId="0" borderId="0" xfId="1" applyNumberFormat="1" applyFont="1"/>
    <xf numFmtId="44" fontId="5" fillId="0" borderId="0" xfId="1" applyFont="1"/>
    <xf numFmtId="0" fontId="5" fillId="0" borderId="0" xfId="0" applyFont="1" applyAlignment="1">
      <alignment horizontal="center"/>
    </xf>
    <xf numFmtId="44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  <xf numFmtId="44" fontId="5" fillId="0" borderId="0" xfId="0" applyNumberFormat="1" applyFont="1"/>
    <xf numFmtId="14" fontId="5" fillId="0" borderId="0" xfId="0" applyNumberFormat="1" applyFont="1" applyAlignment="1">
      <alignment horizontal="center"/>
    </xf>
    <xf numFmtId="14" fontId="5" fillId="0" borderId="0" xfId="1" applyNumberFormat="1" applyFont="1"/>
    <xf numFmtId="8" fontId="5" fillId="0" borderId="0" xfId="1" applyNumberFormat="1" applyFont="1"/>
    <xf numFmtId="8" fontId="5" fillId="0" borderId="0" xfId="0" applyNumberFormat="1" applyFont="1" applyAlignment="1">
      <alignment horizontal="justify"/>
    </xf>
    <xf numFmtId="15" fontId="5" fillId="0" borderId="0" xfId="0" applyNumberFormat="1" applyFont="1"/>
    <xf numFmtId="0" fontId="6" fillId="0" borderId="0" xfId="2" applyFont="1" applyAlignment="1" applyProtection="1"/>
    <xf numFmtId="8" fontId="5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44" fontId="10" fillId="0" borderId="0" xfId="1" applyFont="1"/>
    <xf numFmtId="0" fontId="10" fillId="0" borderId="0" xfId="0" applyFont="1" applyAlignment="1">
      <alignment horizontal="center"/>
    </xf>
    <xf numFmtId="44" fontId="5" fillId="2" borderId="0" xfId="0" applyNumberFormat="1" applyFont="1" applyFill="1"/>
    <xf numFmtId="0" fontId="11" fillId="0" borderId="0" xfId="0" applyFont="1"/>
    <xf numFmtId="44" fontId="2" fillId="0" borderId="0" xfId="1" applyFont="1"/>
    <xf numFmtId="44" fontId="0" fillId="0" borderId="0" xfId="1" applyFont="1"/>
    <xf numFmtId="44" fontId="11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topLeftCell="M1" workbookViewId="0">
      <pane ySplit="2" topLeftCell="A3" activePane="bottomLeft" state="frozen"/>
      <selection pane="bottomLeft" activeCell="A15" sqref="A15:XFD15"/>
    </sheetView>
  </sheetViews>
  <sheetFormatPr defaultRowHeight="14.25" x14ac:dyDescent="0.2"/>
  <cols>
    <col min="1" max="3" width="20.42578125" style="6" customWidth="1"/>
    <col min="4" max="4" width="15.7109375" style="6" customWidth="1"/>
    <col min="5" max="5" width="14.28515625" style="6" customWidth="1"/>
    <col min="6" max="6" width="16.42578125" style="6" customWidth="1"/>
    <col min="7" max="7" width="14.85546875" style="6" customWidth="1"/>
    <col min="8" max="8" width="16" style="6" customWidth="1"/>
    <col min="9" max="9" width="17.85546875" style="6" customWidth="1"/>
    <col min="10" max="10" width="16.5703125" style="6" customWidth="1"/>
    <col min="11" max="11" width="17" style="6" customWidth="1"/>
    <col min="12" max="12" width="13.28515625" style="6" customWidth="1"/>
    <col min="13" max="13" width="27.28515625" style="6" customWidth="1"/>
    <col min="14" max="14" width="20.5703125" style="10" customWidth="1"/>
    <col min="15" max="15" width="18.5703125" style="6" customWidth="1"/>
    <col min="16" max="16" width="16" style="6" customWidth="1"/>
    <col min="17" max="17" width="22.5703125" style="6" customWidth="1"/>
    <col min="18" max="18" width="19.42578125" style="6" customWidth="1"/>
    <col min="19" max="19" width="20" style="10" customWidth="1"/>
    <col min="20" max="20" width="22.140625" style="6" customWidth="1"/>
    <col min="21" max="21" width="25.5703125" style="10" customWidth="1"/>
    <col min="22" max="22" width="25.28515625" style="6" customWidth="1"/>
    <col min="23" max="23" width="28.140625" style="6" customWidth="1"/>
    <col min="24" max="24" width="25.28515625" style="6" customWidth="1"/>
    <col min="25" max="25" width="27.28515625" style="6" customWidth="1"/>
    <col min="26" max="16384" width="9.140625" style="6"/>
  </cols>
  <sheetData>
    <row r="1" spans="1:26" s="21" customFormat="1" ht="31.5" customHeight="1" x14ac:dyDescent="0.2">
      <c r="A1" s="21" t="s">
        <v>19</v>
      </c>
      <c r="E1" s="21" t="s">
        <v>6</v>
      </c>
      <c r="H1" s="21" t="s">
        <v>7</v>
      </c>
      <c r="N1" s="22"/>
      <c r="S1" s="22"/>
      <c r="U1" s="22"/>
    </row>
    <row r="3" spans="1:26" s="4" customFormat="1" ht="15" x14ac:dyDescent="0.25">
      <c r="A3" s="4" t="s">
        <v>0</v>
      </c>
      <c r="B3" s="4" t="s">
        <v>9</v>
      </c>
      <c r="C3" s="4" t="s">
        <v>15</v>
      </c>
      <c r="D3" s="4" t="s">
        <v>17</v>
      </c>
      <c r="E3" s="4" t="s">
        <v>1</v>
      </c>
      <c r="F3" s="4" t="s">
        <v>2</v>
      </c>
      <c r="G3" s="4" t="s">
        <v>8</v>
      </c>
      <c r="H3" s="4" t="s">
        <v>3</v>
      </c>
      <c r="I3" s="4" t="s">
        <v>12</v>
      </c>
      <c r="J3" s="4" t="s">
        <v>33</v>
      </c>
      <c r="K3" s="4" t="s">
        <v>32</v>
      </c>
      <c r="L3" s="4" t="s">
        <v>4</v>
      </c>
      <c r="M3" s="5" t="s">
        <v>22</v>
      </c>
      <c r="N3" s="4" t="s">
        <v>10</v>
      </c>
      <c r="O3" s="4" t="s">
        <v>25</v>
      </c>
      <c r="P3" s="5" t="s">
        <v>27</v>
      </c>
      <c r="Q3" s="4" t="s">
        <v>16</v>
      </c>
      <c r="R3" s="5" t="s">
        <v>34</v>
      </c>
      <c r="S3" s="5" t="s">
        <v>18</v>
      </c>
      <c r="T3" s="5" t="s">
        <v>28</v>
      </c>
      <c r="U3" s="5" t="s">
        <v>13</v>
      </c>
      <c r="V3" s="4" t="s">
        <v>14</v>
      </c>
      <c r="W3" s="4" t="s">
        <v>30</v>
      </c>
      <c r="X3" s="4" t="s">
        <v>41</v>
      </c>
      <c r="Y3" s="4" t="s">
        <v>5</v>
      </c>
    </row>
    <row r="4" spans="1:26" x14ac:dyDescent="0.2">
      <c r="A4" s="23" t="s">
        <v>31</v>
      </c>
      <c r="D4" s="6" t="s">
        <v>29</v>
      </c>
      <c r="E4" s="7">
        <v>45558</v>
      </c>
      <c r="F4" s="7">
        <v>45562</v>
      </c>
      <c r="G4" s="8">
        <f>F4-E4</f>
        <v>4</v>
      </c>
      <c r="H4" s="9">
        <v>129</v>
      </c>
      <c r="I4" s="9">
        <f>H4*G4</f>
        <v>516</v>
      </c>
      <c r="J4" s="9">
        <v>175</v>
      </c>
      <c r="K4" s="9">
        <v>103.2</v>
      </c>
      <c r="L4" s="9">
        <f>I4+J4-K4</f>
        <v>587.79999999999995</v>
      </c>
      <c r="M4" s="9">
        <v>570.16999999999996</v>
      </c>
      <c r="N4" s="10" t="s">
        <v>23</v>
      </c>
      <c r="O4" s="6">
        <v>17.63</v>
      </c>
      <c r="P4" s="9">
        <f>L4-O4</f>
        <v>570.16999999999996</v>
      </c>
      <c r="Q4" s="9"/>
      <c r="R4" s="9"/>
      <c r="S4" s="11"/>
      <c r="T4" s="9"/>
      <c r="U4" s="12">
        <v>45567</v>
      </c>
      <c r="W4" s="28">
        <f>I4*0.12</f>
        <v>61.919999999999995</v>
      </c>
      <c r="X4" s="13"/>
      <c r="Y4" s="6" t="s">
        <v>36</v>
      </c>
    </row>
    <row r="5" spans="1:26" x14ac:dyDescent="0.2">
      <c r="A5" s="23" t="s">
        <v>35</v>
      </c>
      <c r="D5" s="6" t="s">
        <v>29</v>
      </c>
      <c r="E5" s="7">
        <v>45562</v>
      </c>
      <c r="F5" s="7">
        <v>45571</v>
      </c>
      <c r="G5" s="8">
        <f>F5-E5</f>
        <v>9</v>
      </c>
      <c r="H5" s="9">
        <v>132.33000000000001</v>
      </c>
      <c r="I5" s="9">
        <f>H5*G5</f>
        <v>1190.97</v>
      </c>
      <c r="J5" s="9">
        <v>275</v>
      </c>
      <c r="K5" s="9">
        <v>119.1</v>
      </c>
      <c r="L5" s="9">
        <f>I5+J5-K5-O5</f>
        <v>1306.46</v>
      </c>
      <c r="M5" s="9">
        <v>1306.46</v>
      </c>
      <c r="N5" s="10" t="s">
        <v>23</v>
      </c>
      <c r="O5" s="6">
        <v>40.409999999999997</v>
      </c>
      <c r="P5" s="9">
        <v>1306.46</v>
      </c>
      <c r="Q5" s="9"/>
      <c r="R5" s="9"/>
      <c r="S5" s="11"/>
      <c r="T5" s="9"/>
      <c r="U5" s="12">
        <v>45572</v>
      </c>
      <c r="W5" s="28">
        <f>I5*0.12</f>
        <v>142.91640000000001</v>
      </c>
      <c r="X5" s="13"/>
      <c r="Y5" s="6" t="s">
        <v>37</v>
      </c>
    </row>
    <row r="6" spans="1:26" x14ac:dyDescent="0.2">
      <c r="A6" s="6" t="s">
        <v>38</v>
      </c>
      <c r="B6" s="6" t="s">
        <v>39</v>
      </c>
      <c r="D6" s="6" t="s">
        <v>29</v>
      </c>
      <c r="E6" s="7">
        <v>45541</v>
      </c>
      <c r="F6" s="7">
        <v>45556</v>
      </c>
      <c r="G6" s="8">
        <f>F6-E6</f>
        <v>15</v>
      </c>
      <c r="H6" s="9">
        <v>200</v>
      </c>
      <c r="I6" s="9">
        <f>H6*G6</f>
        <v>3000</v>
      </c>
      <c r="J6" s="9">
        <v>175</v>
      </c>
      <c r="K6" s="9"/>
      <c r="L6" s="9">
        <f>I6+J6-K6</f>
        <v>3175</v>
      </c>
      <c r="M6" s="9">
        <v>3175</v>
      </c>
      <c r="N6" s="10" t="s">
        <v>42</v>
      </c>
      <c r="O6" s="6">
        <v>0</v>
      </c>
      <c r="P6" s="9">
        <v>0</v>
      </c>
      <c r="Q6" s="9"/>
      <c r="R6" s="9"/>
      <c r="S6" s="11"/>
      <c r="T6" s="9"/>
      <c r="U6" s="11"/>
      <c r="W6" s="13">
        <f>I6*0.12</f>
        <v>360</v>
      </c>
      <c r="X6" s="13"/>
      <c r="Y6" s="6" t="s">
        <v>40</v>
      </c>
    </row>
    <row r="7" spans="1:26" x14ac:dyDescent="0.2">
      <c r="A7" s="6" t="s">
        <v>20</v>
      </c>
      <c r="B7" s="24" t="s">
        <v>21</v>
      </c>
      <c r="D7" s="6" t="s">
        <v>29</v>
      </c>
      <c r="E7" s="7">
        <v>45586</v>
      </c>
      <c r="F7" s="7">
        <v>45642</v>
      </c>
      <c r="G7" s="8">
        <v>57</v>
      </c>
      <c r="H7" s="9">
        <v>144</v>
      </c>
      <c r="I7" s="9">
        <f>G7*H7</f>
        <v>8208</v>
      </c>
      <c r="J7" s="9">
        <v>176</v>
      </c>
      <c r="K7" s="9"/>
      <c r="L7" s="9">
        <f>(G7*H7)+J7</f>
        <v>8384</v>
      </c>
      <c r="M7" s="9">
        <v>4501.92</v>
      </c>
      <c r="N7" s="10" t="s">
        <v>23</v>
      </c>
      <c r="O7" s="9">
        <v>251.52</v>
      </c>
      <c r="P7" s="9">
        <f>L7-M7</f>
        <v>3882.08</v>
      </c>
      <c r="Q7" s="9"/>
      <c r="R7" s="9">
        <v>3630.56</v>
      </c>
      <c r="S7" s="10" t="s">
        <v>24</v>
      </c>
      <c r="T7" s="9">
        <f>L7-M7-P7</f>
        <v>0</v>
      </c>
      <c r="U7" s="14">
        <v>45595</v>
      </c>
      <c r="V7" s="7">
        <v>45625</v>
      </c>
      <c r="W7" s="28">
        <f>I7*0.12</f>
        <v>984.95999999999992</v>
      </c>
      <c r="X7" s="13"/>
      <c r="Y7" s="6" t="s">
        <v>26</v>
      </c>
    </row>
    <row r="9" spans="1:26" x14ac:dyDescent="0.2">
      <c r="A9" s="6" t="s">
        <v>46</v>
      </c>
      <c r="D9" s="6" t="s">
        <v>29</v>
      </c>
      <c r="E9" s="7">
        <v>45649</v>
      </c>
      <c r="F9" s="7">
        <v>45658</v>
      </c>
      <c r="G9" s="8">
        <f t="shared" ref="G9:G35" si="0">F9-E9</f>
        <v>9</v>
      </c>
      <c r="H9" s="9">
        <v>144.80000000000001</v>
      </c>
      <c r="I9" s="9">
        <f>H9*G9</f>
        <v>1303.2</v>
      </c>
      <c r="J9" s="9"/>
      <c r="K9" s="9"/>
      <c r="L9" s="9">
        <f t="shared" ref="L9:L35" si="1">I9+J9-K9</f>
        <v>1303.2</v>
      </c>
      <c r="M9" s="9"/>
      <c r="N9" s="10" t="s">
        <v>50</v>
      </c>
      <c r="P9" s="9"/>
      <c r="Q9" s="9"/>
      <c r="R9" s="9"/>
      <c r="S9" s="11"/>
      <c r="T9" s="9"/>
      <c r="U9" s="11"/>
      <c r="W9" s="13">
        <f t="shared" ref="W9:W34" si="2">I9*0.12</f>
        <v>156.38399999999999</v>
      </c>
      <c r="X9" s="13"/>
    </row>
    <row r="10" spans="1:26" x14ac:dyDescent="0.2">
      <c r="A10" s="6" t="s">
        <v>47</v>
      </c>
      <c r="D10" s="6" t="s">
        <v>29</v>
      </c>
      <c r="E10" s="7">
        <v>45659</v>
      </c>
      <c r="F10" s="7">
        <v>45664</v>
      </c>
      <c r="G10" s="8">
        <f t="shared" si="0"/>
        <v>5</v>
      </c>
      <c r="H10" s="9">
        <v>149</v>
      </c>
      <c r="I10" s="9">
        <f t="shared" ref="I10:I35" si="3">H10*G10</f>
        <v>745</v>
      </c>
      <c r="J10" s="9"/>
      <c r="K10" s="9"/>
      <c r="L10" s="9">
        <f t="shared" si="1"/>
        <v>745</v>
      </c>
      <c r="M10" s="9"/>
      <c r="N10" s="10" t="s">
        <v>50</v>
      </c>
      <c r="P10" s="9"/>
      <c r="Q10" s="9"/>
      <c r="R10" s="9"/>
      <c r="S10" s="11"/>
      <c r="T10" s="9"/>
      <c r="U10" s="11"/>
      <c r="W10" s="13">
        <f t="shared" si="2"/>
        <v>89.399999999999991</v>
      </c>
      <c r="X10" s="13"/>
    </row>
    <row r="11" spans="1:26" x14ac:dyDescent="0.2">
      <c r="A11" s="6" t="s">
        <v>48</v>
      </c>
      <c r="D11" s="6" t="s">
        <v>29</v>
      </c>
      <c r="E11" s="7">
        <v>45667</v>
      </c>
      <c r="F11" s="7">
        <v>45672</v>
      </c>
      <c r="G11" s="8">
        <f t="shared" si="0"/>
        <v>5</v>
      </c>
      <c r="H11" s="9">
        <v>129</v>
      </c>
      <c r="I11" s="9">
        <f t="shared" si="3"/>
        <v>645</v>
      </c>
      <c r="J11" s="9"/>
      <c r="K11" s="9"/>
      <c r="L11" s="9">
        <f t="shared" si="1"/>
        <v>645</v>
      </c>
      <c r="M11" s="9"/>
      <c r="N11" s="10" t="s">
        <v>24</v>
      </c>
      <c r="P11" s="9"/>
      <c r="Q11" s="9"/>
      <c r="R11" s="9"/>
      <c r="S11" s="11"/>
      <c r="T11" s="9"/>
      <c r="U11" s="11"/>
      <c r="W11" s="13">
        <f t="shared" si="2"/>
        <v>77.399999999999991</v>
      </c>
      <c r="X11" s="13"/>
    </row>
    <row r="12" spans="1:26" x14ac:dyDescent="0.2">
      <c r="A12" s="6" t="s">
        <v>49</v>
      </c>
      <c r="D12" s="6" t="s">
        <v>29</v>
      </c>
      <c r="E12" s="7">
        <v>45679</v>
      </c>
      <c r="F12" s="7">
        <v>45684</v>
      </c>
      <c r="G12" s="8">
        <f t="shared" si="0"/>
        <v>5</v>
      </c>
      <c r="H12" s="9">
        <v>99</v>
      </c>
      <c r="I12" s="9">
        <f t="shared" si="3"/>
        <v>495</v>
      </c>
      <c r="J12" s="9"/>
      <c r="K12" s="9"/>
      <c r="L12" s="9">
        <f t="shared" si="1"/>
        <v>495</v>
      </c>
      <c r="M12" s="9"/>
      <c r="N12" s="10" t="s">
        <v>50</v>
      </c>
      <c r="P12" s="9"/>
      <c r="Q12" s="9"/>
      <c r="R12" s="9"/>
      <c r="S12" s="11"/>
      <c r="T12" s="15"/>
      <c r="U12" s="11"/>
      <c r="W12" s="13">
        <f t="shared" si="2"/>
        <v>59.4</v>
      </c>
      <c r="X12" s="13"/>
    </row>
    <row r="13" spans="1:26" x14ac:dyDescent="0.2">
      <c r="E13" s="7"/>
      <c r="F13" s="7"/>
      <c r="G13" s="8">
        <f t="shared" si="0"/>
        <v>0</v>
      </c>
      <c r="H13" s="9"/>
      <c r="I13" s="9">
        <f t="shared" si="3"/>
        <v>0</v>
      </c>
      <c r="J13" s="9"/>
      <c r="K13" s="9"/>
      <c r="L13" s="9">
        <f t="shared" si="1"/>
        <v>0</v>
      </c>
      <c r="M13" s="9"/>
      <c r="P13" s="9"/>
      <c r="Q13" s="9"/>
      <c r="R13" s="9"/>
      <c r="S13" s="11"/>
      <c r="T13" s="7"/>
      <c r="U13" s="11"/>
      <c r="W13" s="13">
        <f t="shared" si="2"/>
        <v>0</v>
      </c>
      <c r="X13" s="13"/>
    </row>
    <row r="14" spans="1:26" x14ac:dyDescent="0.2">
      <c r="A14" s="6" t="s">
        <v>51</v>
      </c>
      <c r="B14" s="6" t="s">
        <v>52</v>
      </c>
      <c r="D14" s="6" t="s">
        <v>29</v>
      </c>
      <c r="E14" s="7">
        <v>46005</v>
      </c>
      <c r="F14" s="7">
        <v>46102</v>
      </c>
      <c r="G14" s="8">
        <v>96</v>
      </c>
      <c r="H14" s="9">
        <v>170</v>
      </c>
      <c r="I14" s="9">
        <v>16320</v>
      </c>
      <c r="J14" s="9"/>
      <c r="K14" s="9">
        <v>1632</v>
      </c>
      <c r="L14" s="9">
        <f t="shared" si="1"/>
        <v>14688</v>
      </c>
      <c r="M14" s="9"/>
      <c r="P14" s="9"/>
      <c r="Q14" s="9"/>
      <c r="R14" s="9"/>
      <c r="S14" s="11"/>
      <c r="T14" s="7"/>
      <c r="U14" s="12"/>
      <c r="W14" s="13">
        <f t="shared" si="2"/>
        <v>1958.3999999999999</v>
      </c>
      <c r="X14" s="13"/>
    </row>
    <row r="15" spans="1:26" x14ac:dyDescent="0.2">
      <c r="A15" s="6" t="s">
        <v>53</v>
      </c>
      <c r="E15" s="7">
        <v>45675</v>
      </c>
      <c r="F15" s="7">
        <v>45679</v>
      </c>
      <c r="G15" s="8">
        <f t="shared" si="0"/>
        <v>4</v>
      </c>
      <c r="H15" s="9"/>
      <c r="I15" s="9">
        <v>900</v>
      </c>
      <c r="J15" s="9"/>
      <c r="K15" s="9"/>
      <c r="L15" s="9">
        <f t="shared" si="1"/>
        <v>900</v>
      </c>
      <c r="M15" s="9"/>
      <c r="P15" s="9"/>
      <c r="Q15" s="9"/>
      <c r="R15" s="16"/>
      <c r="S15" s="11"/>
      <c r="T15" s="9"/>
      <c r="U15" s="11"/>
      <c r="V15" s="7"/>
      <c r="W15" s="13">
        <f t="shared" si="2"/>
        <v>108</v>
      </c>
      <c r="X15" s="13"/>
    </row>
    <row r="16" spans="1:26" x14ac:dyDescent="0.2">
      <c r="A16" s="6" t="s">
        <v>54</v>
      </c>
      <c r="E16" s="7">
        <v>45692</v>
      </c>
      <c r="F16" s="7">
        <v>45696</v>
      </c>
      <c r="G16" s="8">
        <f t="shared" si="0"/>
        <v>4</v>
      </c>
      <c r="H16" s="9"/>
      <c r="I16" s="9">
        <v>395</v>
      </c>
      <c r="J16" s="9"/>
      <c r="K16" s="9"/>
      <c r="L16" s="9">
        <f t="shared" si="1"/>
        <v>395</v>
      </c>
      <c r="M16" s="9"/>
      <c r="P16" s="9"/>
      <c r="Q16" s="9"/>
      <c r="R16" s="9"/>
      <c r="S16" s="11"/>
      <c r="T16" s="9"/>
      <c r="U16" s="11"/>
      <c r="W16" s="13">
        <f t="shared" si="2"/>
        <v>47.4</v>
      </c>
      <c r="X16" s="13"/>
      <c r="Z16" s="17"/>
    </row>
    <row r="17" spans="1:26" s="25" customFormat="1" ht="15.75" customHeight="1" x14ac:dyDescent="0.25">
      <c r="A17" s="6" t="s">
        <v>55</v>
      </c>
      <c r="E17" s="7">
        <v>45696</v>
      </c>
      <c r="F17" s="7">
        <v>45717</v>
      </c>
      <c r="G17" s="8">
        <f t="shared" si="0"/>
        <v>21</v>
      </c>
      <c r="H17" s="26"/>
      <c r="I17" s="9">
        <v>3969</v>
      </c>
      <c r="J17" s="26"/>
      <c r="K17" s="26"/>
      <c r="L17" s="9">
        <f t="shared" si="1"/>
        <v>3969</v>
      </c>
      <c r="M17" s="9"/>
      <c r="N17" s="27"/>
      <c r="P17" s="9"/>
      <c r="Q17" s="26"/>
      <c r="R17" s="9"/>
      <c r="S17" s="11"/>
      <c r="T17" s="9"/>
      <c r="U17" s="11"/>
      <c r="W17" s="13">
        <f t="shared" si="2"/>
        <v>476.28</v>
      </c>
      <c r="X17" s="13"/>
      <c r="Z17" s="6"/>
    </row>
    <row r="18" spans="1:26" x14ac:dyDescent="0.2">
      <c r="A18" s="6" t="s">
        <v>56</v>
      </c>
      <c r="E18" s="7">
        <v>45717</v>
      </c>
      <c r="F18" s="7">
        <v>45747</v>
      </c>
      <c r="G18" s="8">
        <f t="shared" si="0"/>
        <v>30</v>
      </c>
      <c r="H18" s="9"/>
      <c r="I18" s="9">
        <v>5670</v>
      </c>
      <c r="J18" s="9"/>
      <c r="K18" s="9"/>
      <c r="L18" s="9">
        <f t="shared" si="1"/>
        <v>5670</v>
      </c>
      <c r="M18" s="9"/>
      <c r="P18" s="9"/>
      <c r="Q18" s="9"/>
      <c r="R18" s="9"/>
      <c r="S18" s="11"/>
      <c r="T18" s="9"/>
      <c r="U18" s="11"/>
      <c r="W18" s="13">
        <f t="shared" si="2"/>
        <v>680.4</v>
      </c>
      <c r="X18" s="13"/>
    </row>
    <row r="19" spans="1:26" x14ac:dyDescent="0.2">
      <c r="A19" s="6" t="s">
        <v>57</v>
      </c>
      <c r="E19" s="7">
        <v>45757</v>
      </c>
      <c r="F19" s="7">
        <v>45762</v>
      </c>
      <c r="G19" s="8">
        <f t="shared" si="0"/>
        <v>5</v>
      </c>
      <c r="H19" s="9"/>
      <c r="I19" s="9">
        <v>745</v>
      </c>
      <c r="J19" s="9"/>
      <c r="K19" s="9"/>
      <c r="L19" s="9">
        <f t="shared" si="1"/>
        <v>745</v>
      </c>
      <c r="M19" s="9"/>
      <c r="P19" s="9"/>
      <c r="Q19" s="9"/>
      <c r="R19" s="9"/>
      <c r="S19" s="11"/>
      <c r="T19" s="15"/>
      <c r="U19" s="11"/>
      <c r="W19" s="13">
        <f t="shared" si="2"/>
        <v>89.399999999999991</v>
      </c>
      <c r="X19" s="13"/>
    </row>
    <row r="20" spans="1:26" x14ac:dyDescent="0.2">
      <c r="E20" s="7"/>
      <c r="F20" s="7"/>
      <c r="G20" s="8">
        <f t="shared" si="0"/>
        <v>0</v>
      </c>
      <c r="H20" s="9"/>
      <c r="I20" s="9">
        <f t="shared" si="3"/>
        <v>0</v>
      </c>
      <c r="J20" s="9"/>
      <c r="K20" s="9"/>
      <c r="L20" s="9">
        <f t="shared" si="1"/>
        <v>0</v>
      </c>
      <c r="M20" s="9"/>
      <c r="P20" s="9"/>
      <c r="Q20" s="9"/>
      <c r="R20" s="9"/>
      <c r="S20" s="11"/>
      <c r="T20" s="15"/>
      <c r="U20" s="11"/>
      <c r="W20" s="13">
        <f t="shared" si="2"/>
        <v>0</v>
      </c>
      <c r="X20" s="13"/>
    </row>
    <row r="21" spans="1:26" x14ac:dyDescent="0.2">
      <c r="E21" s="7"/>
      <c r="F21" s="7"/>
      <c r="G21" s="8">
        <f t="shared" si="0"/>
        <v>0</v>
      </c>
      <c r="H21" s="9"/>
      <c r="I21" s="9">
        <f t="shared" si="3"/>
        <v>0</v>
      </c>
      <c r="J21" s="9"/>
      <c r="K21" s="9"/>
      <c r="L21" s="9">
        <f t="shared" si="1"/>
        <v>0</v>
      </c>
      <c r="M21" s="9"/>
      <c r="P21" s="9"/>
      <c r="Q21" s="9"/>
      <c r="R21" s="9"/>
      <c r="S21" s="11"/>
      <c r="T21" s="15"/>
      <c r="U21" s="11"/>
      <c r="W21" s="13">
        <f t="shared" si="2"/>
        <v>0</v>
      </c>
      <c r="X21" s="13"/>
    </row>
    <row r="22" spans="1:26" x14ac:dyDescent="0.2">
      <c r="E22" s="7"/>
      <c r="F22" s="7"/>
      <c r="G22" s="8">
        <f t="shared" si="0"/>
        <v>0</v>
      </c>
      <c r="H22" s="9"/>
      <c r="I22" s="9">
        <f t="shared" si="3"/>
        <v>0</v>
      </c>
      <c r="J22" s="9"/>
      <c r="K22" s="9"/>
      <c r="L22" s="9">
        <f t="shared" si="1"/>
        <v>0</v>
      </c>
      <c r="M22" s="9"/>
      <c r="P22" s="9"/>
      <c r="Q22" s="9"/>
      <c r="R22" s="9"/>
      <c r="S22" s="11"/>
      <c r="T22" s="15"/>
      <c r="U22" s="11"/>
      <c r="W22" s="13">
        <f t="shared" si="2"/>
        <v>0</v>
      </c>
      <c r="X22" s="13"/>
    </row>
    <row r="23" spans="1:26" x14ac:dyDescent="0.2">
      <c r="E23" s="7"/>
      <c r="F23" s="7"/>
      <c r="G23" s="8">
        <f t="shared" si="0"/>
        <v>0</v>
      </c>
      <c r="H23" s="9"/>
      <c r="I23" s="9">
        <f t="shared" si="3"/>
        <v>0</v>
      </c>
      <c r="J23" s="9"/>
      <c r="K23" s="9"/>
      <c r="L23" s="9">
        <f t="shared" si="1"/>
        <v>0</v>
      </c>
      <c r="M23" s="9"/>
      <c r="P23" s="9"/>
      <c r="Q23" s="9"/>
      <c r="R23" s="9"/>
      <c r="S23" s="11"/>
      <c r="T23" s="9"/>
      <c r="U23" s="11"/>
      <c r="W23" s="13">
        <f t="shared" si="2"/>
        <v>0</v>
      </c>
      <c r="X23" s="13"/>
    </row>
    <row r="24" spans="1:26" x14ac:dyDescent="0.2">
      <c r="E24" s="7"/>
      <c r="F24" s="7"/>
      <c r="G24" s="8">
        <f t="shared" si="0"/>
        <v>0</v>
      </c>
      <c r="H24" s="9"/>
      <c r="I24" s="9">
        <f t="shared" si="3"/>
        <v>0</v>
      </c>
      <c r="J24" s="9"/>
      <c r="K24" s="9"/>
      <c r="L24" s="9">
        <f t="shared" si="1"/>
        <v>0</v>
      </c>
      <c r="M24" s="9"/>
      <c r="P24" s="9"/>
      <c r="Q24" s="9"/>
      <c r="R24" s="9"/>
      <c r="S24" s="11"/>
      <c r="T24" s="9"/>
      <c r="U24" s="11"/>
      <c r="W24" s="13">
        <f t="shared" si="2"/>
        <v>0</v>
      </c>
      <c r="X24" s="13"/>
    </row>
    <row r="25" spans="1:26" x14ac:dyDescent="0.2">
      <c r="E25" s="7"/>
      <c r="F25" s="7"/>
      <c r="G25" s="8">
        <f t="shared" si="0"/>
        <v>0</v>
      </c>
      <c r="H25" s="9"/>
      <c r="I25" s="9">
        <f t="shared" si="3"/>
        <v>0</v>
      </c>
      <c r="J25" s="9"/>
      <c r="K25" s="9"/>
      <c r="L25" s="9">
        <f t="shared" si="1"/>
        <v>0</v>
      </c>
      <c r="M25" s="9"/>
      <c r="P25" s="9"/>
      <c r="Q25" s="9"/>
      <c r="R25" s="9"/>
      <c r="S25" s="11"/>
      <c r="T25" s="15"/>
      <c r="U25" s="12"/>
      <c r="V25" s="7"/>
      <c r="W25" s="13">
        <f t="shared" si="2"/>
        <v>0</v>
      </c>
      <c r="X25" s="13"/>
    </row>
    <row r="26" spans="1:26" x14ac:dyDescent="0.2">
      <c r="E26" s="7"/>
      <c r="F26" s="7"/>
      <c r="G26" s="8">
        <f t="shared" si="0"/>
        <v>0</v>
      </c>
      <c r="H26" s="9"/>
      <c r="I26" s="9">
        <f t="shared" si="3"/>
        <v>0</v>
      </c>
      <c r="J26" s="9"/>
      <c r="K26" s="9"/>
      <c r="L26" s="9">
        <f t="shared" si="1"/>
        <v>0</v>
      </c>
      <c r="M26" s="9"/>
      <c r="P26" s="9"/>
      <c r="Q26" s="9"/>
      <c r="R26" s="9"/>
      <c r="S26" s="11"/>
      <c r="T26" s="9"/>
      <c r="U26" s="11"/>
      <c r="W26" s="13">
        <f t="shared" si="2"/>
        <v>0</v>
      </c>
      <c r="X26" s="13"/>
    </row>
    <row r="27" spans="1:26" x14ac:dyDescent="0.2">
      <c r="E27" s="7"/>
      <c r="F27" s="7"/>
      <c r="G27" s="8">
        <f t="shared" si="0"/>
        <v>0</v>
      </c>
      <c r="H27" s="9"/>
      <c r="I27" s="9">
        <f t="shared" si="3"/>
        <v>0</v>
      </c>
      <c r="J27" s="9"/>
      <c r="K27" s="9"/>
      <c r="L27" s="9">
        <f t="shared" si="1"/>
        <v>0</v>
      </c>
      <c r="M27" s="9"/>
      <c r="P27" s="9"/>
      <c r="Q27" s="9"/>
      <c r="W27" s="13">
        <f t="shared" si="2"/>
        <v>0</v>
      </c>
      <c r="X27" s="13"/>
    </row>
    <row r="28" spans="1:26" x14ac:dyDescent="0.2">
      <c r="E28" s="18"/>
      <c r="F28" s="7"/>
      <c r="G28" s="8">
        <f t="shared" si="0"/>
        <v>0</v>
      </c>
      <c r="H28" s="9"/>
      <c r="I28" s="9">
        <f t="shared" si="3"/>
        <v>0</v>
      </c>
      <c r="J28" s="9"/>
      <c r="K28" s="9"/>
      <c r="L28" s="9">
        <f t="shared" si="1"/>
        <v>0</v>
      </c>
      <c r="M28" s="9"/>
      <c r="P28" s="9"/>
      <c r="Q28" s="9"/>
      <c r="R28" s="9"/>
      <c r="S28" s="11"/>
      <c r="T28" s="9"/>
      <c r="U28" s="11"/>
      <c r="W28" s="13">
        <f t="shared" si="2"/>
        <v>0</v>
      </c>
      <c r="X28" s="13"/>
    </row>
    <row r="29" spans="1:26" x14ac:dyDescent="0.2">
      <c r="B29" s="24"/>
      <c r="C29" s="24"/>
      <c r="D29" s="24"/>
      <c r="E29" s="7"/>
      <c r="F29" s="7"/>
      <c r="G29" s="8">
        <f t="shared" si="0"/>
        <v>0</v>
      </c>
      <c r="H29" s="9"/>
      <c r="I29" s="9">
        <f t="shared" si="3"/>
        <v>0</v>
      </c>
      <c r="J29" s="9"/>
      <c r="K29" s="9"/>
      <c r="L29" s="9">
        <f t="shared" si="1"/>
        <v>0</v>
      </c>
      <c r="M29" s="9"/>
      <c r="P29" s="9"/>
      <c r="Q29" s="9"/>
      <c r="R29" s="9"/>
      <c r="S29" s="11"/>
      <c r="T29" s="9"/>
      <c r="U29" s="11"/>
      <c r="W29" s="13">
        <f t="shared" si="2"/>
        <v>0</v>
      </c>
      <c r="X29" s="13"/>
    </row>
    <row r="30" spans="1:26" x14ac:dyDescent="0.2">
      <c r="B30" s="24"/>
      <c r="C30" s="24"/>
      <c r="D30" s="24"/>
      <c r="E30" s="7"/>
      <c r="F30" s="7"/>
      <c r="G30" s="8">
        <f t="shared" si="0"/>
        <v>0</v>
      </c>
      <c r="H30" s="9"/>
      <c r="I30" s="9">
        <f t="shared" si="3"/>
        <v>0</v>
      </c>
      <c r="J30" s="9"/>
      <c r="K30" s="9"/>
      <c r="L30" s="9">
        <f t="shared" si="1"/>
        <v>0</v>
      </c>
      <c r="M30" s="9"/>
      <c r="P30" s="9"/>
      <c r="Q30" s="9"/>
      <c r="R30" s="9"/>
      <c r="S30" s="11"/>
      <c r="T30" s="9"/>
      <c r="U30" s="11"/>
      <c r="W30" s="13">
        <f t="shared" si="2"/>
        <v>0</v>
      </c>
      <c r="X30" s="13"/>
    </row>
    <row r="31" spans="1:26" x14ac:dyDescent="0.2">
      <c r="E31" s="7"/>
      <c r="F31" s="7"/>
      <c r="G31" s="8">
        <f t="shared" si="0"/>
        <v>0</v>
      </c>
      <c r="H31" s="9"/>
      <c r="I31" s="9">
        <f t="shared" si="3"/>
        <v>0</v>
      </c>
      <c r="J31" s="9"/>
      <c r="K31" s="9"/>
      <c r="L31" s="9">
        <f t="shared" si="1"/>
        <v>0</v>
      </c>
      <c r="M31" s="9"/>
      <c r="P31" s="9"/>
      <c r="Q31" s="9"/>
      <c r="R31" s="9"/>
      <c r="S31" s="11"/>
      <c r="T31" s="9"/>
      <c r="U31" s="11"/>
      <c r="W31" s="13">
        <f t="shared" si="2"/>
        <v>0</v>
      </c>
      <c r="X31" s="13"/>
    </row>
    <row r="32" spans="1:26" x14ac:dyDescent="0.2">
      <c r="E32" s="7"/>
      <c r="F32" s="7"/>
      <c r="G32" s="8">
        <f t="shared" si="0"/>
        <v>0</v>
      </c>
      <c r="H32" s="9"/>
      <c r="I32" s="9">
        <f t="shared" si="3"/>
        <v>0</v>
      </c>
      <c r="L32" s="9">
        <f t="shared" si="1"/>
        <v>0</v>
      </c>
      <c r="M32" s="9"/>
      <c r="P32" s="9"/>
      <c r="W32" s="13">
        <f t="shared" si="2"/>
        <v>0</v>
      </c>
      <c r="X32" s="13"/>
    </row>
    <row r="33" spans="2:24" x14ac:dyDescent="0.2">
      <c r="E33" s="7"/>
      <c r="F33" s="7"/>
      <c r="G33" s="8">
        <f t="shared" si="0"/>
        <v>0</v>
      </c>
      <c r="H33" s="9"/>
      <c r="I33" s="9">
        <f t="shared" si="3"/>
        <v>0</v>
      </c>
      <c r="L33" s="9">
        <f t="shared" si="1"/>
        <v>0</v>
      </c>
      <c r="M33" s="9"/>
      <c r="P33" s="9"/>
      <c r="W33" s="13">
        <f t="shared" si="2"/>
        <v>0</v>
      </c>
      <c r="X33" s="13"/>
    </row>
    <row r="34" spans="2:24" x14ac:dyDescent="0.2">
      <c r="E34" s="7"/>
      <c r="F34" s="7"/>
      <c r="G34" s="8">
        <f t="shared" si="0"/>
        <v>0</v>
      </c>
      <c r="H34" s="9"/>
      <c r="I34" s="9">
        <f t="shared" si="3"/>
        <v>0</v>
      </c>
      <c r="L34" s="9">
        <f t="shared" si="1"/>
        <v>0</v>
      </c>
      <c r="M34" s="9"/>
      <c r="W34" s="13">
        <f t="shared" si="2"/>
        <v>0</v>
      </c>
      <c r="X34" s="13"/>
    </row>
    <row r="35" spans="2:24" x14ac:dyDescent="0.2">
      <c r="C35" s="19"/>
      <c r="D35" s="19"/>
      <c r="E35" s="7"/>
      <c r="F35" s="7"/>
      <c r="G35" s="8">
        <f t="shared" si="0"/>
        <v>0</v>
      </c>
      <c r="H35" s="9"/>
      <c r="I35" s="9">
        <f t="shared" si="3"/>
        <v>0</v>
      </c>
      <c r="L35" s="9">
        <f t="shared" si="1"/>
        <v>0</v>
      </c>
      <c r="M35" s="9"/>
      <c r="W35" s="13">
        <f>SUM(W4:W34)</f>
        <v>5292.2603999999992</v>
      </c>
      <c r="X35" s="13"/>
    </row>
    <row r="36" spans="2:24" x14ac:dyDescent="0.2">
      <c r="E36" s="7"/>
      <c r="F36" s="7"/>
      <c r="G36" s="8"/>
      <c r="H36" s="9"/>
      <c r="I36" s="13"/>
      <c r="L36" s="13"/>
      <c r="M36" s="9"/>
      <c r="P36" s="13"/>
    </row>
    <row r="37" spans="2:24" x14ac:dyDescent="0.2">
      <c r="E37" s="7"/>
      <c r="F37" s="7"/>
      <c r="G37" s="8"/>
      <c r="H37" s="9"/>
      <c r="I37" s="13"/>
      <c r="L37" s="13"/>
      <c r="M37" s="13"/>
    </row>
    <row r="38" spans="2:24" x14ac:dyDescent="0.2">
      <c r="B38" s="24"/>
      <c r="E38" s="7"/>
      <c r="F38" s="7"/>
      <c r="G38" s="8"/>
      <c r="H38" s="9"/>
      <c r="I38" s="13"/>
      <c r="L38" s="13"/>
      <c r="M38" s="13"/>
    </row>
    <row r="39" spans="2:24" x14ac:dyDescent="0.2">
      <c r="E39" s="7"/>
      <c r="F39" s="7"/>
      <c r="G39" s="8"/>
      <c r="H39" s="9"/>
      <c r="I39" s="13"/>
      <c r="L39" s="13"/>
      <c r="M39" s="13"/>
      <c r="P39" s="13"/>
      <c r="R39" s="20"/>
    </row>
    <row r="40" spans="2:24" x14ac:dyDescent="0.2">
      <c r="B40" s="24"/>
      <c r="E40" s="7"/>
      <c r="F40" s="7"/>
      <c r="G40" s="8"/>
      <c r="H40" s="9"/>
      <c r="I40" s="13"/>
      <c r="L40" s="13"/>
      <c r="M40" s="13"/>
      <c r="P40" s="13"/>
    </row>
    <row r="41" spans="2:24" x14ac:dyDescent="0.2">
      <c r="E41" s="7"/>
      <c r="F41" s="7"/>
      <c r="G41" s="8"/>
      <c r="H41" s="9"/>
      <c r="I41" s="13"/>
      <c r="L41" s="13"/>
      <c r="M41" s="13"/>
      <c r="P41" s="13"/>
    </row>
    <row r="42" spans="2:24" x14ac:dyDescent="0.2">
      <c r="G42" s="8">
        <f t="shared" ref="G42:G46" si="4">F42-E42</f>
        <v>0</v>
      </c>
      <c r="I42" s="13">
        <f t="shared" ref="I42:I46" si="5">H42*G42</f>
        <v>0</v>
      </c>
      <c r="L42" s="13">
        <f>I42+J42+Q42</f>
        <v>0</v>
      </c>
      <c r="P42" s="13">
        <f t="shared" ref="P42:P47" si="6">L42-M42-R42</f>
        <v>0</v>
      </c>
    </row>
    <row r="43" spans="2:24" x14ac:dyDescent="0.2">
      <c r="G43" s="8">
        <f t="shared" si="4"/>
        <v>0</v>
      </c>
      <c r="I43" s="13">
        <f t="shared" si="5"/>
        <v>0</v>
      </c>
      <c r="L43" s="13">
        <f>I43+J43+Q43</f>
        <v>0</v>
      </c>
      <c r="P43" s="13">
        <f t="shared" si="6"/>
        <v>0</v>
      </c>
    </row>
    <row r="44" spans="2:24" x14ac:dyDescent="0.2">
      <c r="G44" s="8">
        <f t="shared" si="4"/>
        <v>0</v>
      </c>
      <c r="I44" s="13">
        <f t="shared" si="5"/>
        <v>0</v>
      </c>
      <c r="L44" s="13">
        <f>I44+J44+Q44</f>
        <v>0</v>
      </c>
      <c r="P44" s="13">
        <f t="shared" si="6"/>
        <v>0</v>
      </c>
    </row>
    <row r="45" spans="2:24" x14ac:dyDescent="0.2">
      <c r="G45" s="8">
        <f t="shared" si="4"/>
        <v>0</v>
      </c>
      <c r="I45" s="13">
        <f t="shared" si="5"/>
        <v>0</v>
      </c>
      <c r="L45" s="13">
        <f>I45+J45+Q45</f>
        <v>0</v>
      </c>
      <c r="P45" s="13">
        <f t="shared" si="6"/>
        <v>0</v>
      </c>
    </row>
    <row r="46" spans="2:24" x14ac:dyDescent="0.2">
      <c r="G46" s="8">
        <f t="shared" si="4"/>
        <v>0</v>
      </c>
      <c r="I46" s="13">
        <f t="shared" si="5"/>
        <v>0</v>
      </c>
      <c r="L46" s="13">
        <f>I46+J46+Q46</f>
        <v>0</v>
      </c>
      <c r="P46" s="13">
        <f t="shared" si="6"/>
        <v>0</v>
      </c>
    </row>
    <row r="47" spans="2:24" x14ac:dyDescent="0.2">
      <c r="P47" s="13">
        <f t="shared" si="6"/>
        <v>0</v>
      </c>
    </row>
  </sheetData>
  <autoFilter ref="A3:Z3" xr:uid="{00000000-0009-0000-0000-000000000000}"/>
  <pageMargins left="0.7" right="0.7" top="0.75" bottom="0.75" header="0.3" footer="0.3"/>
  <pageSetup scale="6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workbookViewId="0">
      <selection activeCell="C10" sqref="C10"/>
    </sheetView>
  </sheetViews>
  <sheetFormatPr defaultRowHeight="15" x14ac:dyDescent="0.25"/>
  <cols>
    <col min="1" max="1" width="11.5703125" customWidth="1"/>
    <col min="2" max="2" width="14.5703125" customWidth="1"/>
    <col min="3" max="3" width="15" style="31" customWidth="1"/>
    <col min="5" max="5" width="14.42578125" customWidth="1"/>
    <col min="7" max="7" width="25.140625" customWidth="1"/>
    <col min="10" max="10" width="16.7109375" customWidth="1"/>
    <col min="12" max="12" width="27.28515625" customWidth="1"/>
    <col min="13" max="13" width="78.28515625" customWidth="1"/>
  </cols>
  <sheetData>
    <row r="1" spans="1:13" x14ac:dyDescent="0.25">
      <c r="A1" s="2" t="s">
        <v>43</v>
      </c>
      <c r="B1" s="2"/>
      <c r="C1" s="30"/>
      <c r="D1" s="2"/>
      <c r="E1" s="2"/>
      <c r="F1" s="2"/>
      <c r="G1" s="2"/>
      <c r="H1" s="2"/>
      <c r="I1" s="2"/>
      <c r="J1" s="2"/>
      <c r="K1" s="2"/>
      <c r="L1" s="3"/>
      <c r="M1" s="2"/>
    </row>
    <row r="3" spans="1:13" x14ac:dyDescent="0.25">
      <c r="A3" s="29" t="s">
        <v>44</v>
      </c>
      <c r="B3" s="29" t="s">
        <v>11</v>
      </c>
      <c r="C3" s="32" t="s">
        <v>45</v>
      </c>
    </row>
    <row r="4" spans="1:13" x14ac:dyDescent="0.25">
      <c r="B4" s="1">
        <v>45638</v>
      </c>
      <c r="C4" s="31">
        <v>1189.8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Mgt. Payments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MacTony</dc:creator>
  <cp:lastModifiedBy>Terrance Clemans</cp:lastModifiedBy>
  <cp:lastPrinted>2025-04-17T23:16:04Z</cp:lastPrinted>
  <dcterms:created xsi:type="dcterms:W3CDTF">2023-02-02T02:23:27Z</dcterms:created>
  <dcterms:modified xsi:type="dcterms:W3CDTF">2026-04-05T17:13:48Z</dcterms:modified>
</cp:coreProperties>
</file>