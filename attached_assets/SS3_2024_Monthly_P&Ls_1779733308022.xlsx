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iettocpas-my.sharepoint.com/personal/debbie_depiettocpas_com/Documents/Documents/"/>
    </mc:Choice>
  </mc:AlternateContent>
  <xr:revisionPtr revIDLastSave="0" documentId="8_{0CA6398F-6A3F-447C-9D9E-4A3604452777}" xr6:coauthVersionLast="47" xr6:coauthVersionMax="47" xr10:uidLastSave="{00000000-0000-0000-0000-000000000000}"/>
  <bookViews>
    <workbookView xWindow="-120" yWindow="-120" windowWidth="29040" windowHeight="15720" activeTab="1" xr2:uid="{4CC843A0-7B4E-4BEE-9F3F-5F929A5661E7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Sheet1!$A:$F,Sheet1!$1:$1</definedName>
    <definedName name="QB_COLUMN_2921" localSheetId="1" hidden="1">Sheet1!$G$1</definedName>
    <definedName name="QB_COLUMN_29210" localSheetId="1" hidden="1">Sheet1!$Y$1</definedName>
    <definedName name="QB_COLUMN_29211" localSheetId="1" hidden="1">Sheet1!$AA$1</definedName>
    <definedName name="QB_COLUMN_29212" localSheetId="1" hidden="1">Sheet1!$AC$1</definedName>
    <definedName name="QB_COLUMN_2922" localSheetId="1" hidden="1">Sheet1!$I$1</definedName>
    <definedName name="QB_COLUMN_2923" localSheetId="1" hidden="1">Sheet1!$K$1</definedName>
    <definedName name="QB_COLUMN_2924" localSheetId="1" hidden="1">Sheet1!$M$1</definedName>
    <definedName name="QB_COLUMN_2925" localSheetId="1" hidden="1">Sheet1!$O$1</definedName>
    <definedName name="QB_COLUMN_2926" localSheetId="1" hidden="1">Sheet1!$Q$1</definedName>
    <definedName name="QB_COLUMN_2927" localSheetId="1" hidden="1">Sheet1!$S$1</definedName>
    <definedName name="QB_COLUMN_2928" localSheetId="1" hidden="1">Sheet1!$U$1</definedName>
    <definedName name="QB_COLUMN_2929" localSheetId="1" hidden="1">Sheet1!$W$1</definedName>
    <definedName name="QB_COLUMN_2930" localSheetId="1" hidden="1">Sheet1!$AE$1</definedName>
    <definedName name="QB_DATA_0" localSheetId="1" hidden="1">Sheet1!$4:$4,Sheet1!$5:$5,Sheet1!$6:$6,Sheet1!$7:$7,Sheet1!$8:$8,Sheet1!$9:$9,Sheet1!$10:$10,Sheet1!$11:$11,Sheet1!$12:$12,Sheet1!$13:$13,Sheet1!$14:$14,Sheet1!$15:$15,Sheet1!$16:$16,Sheet1!$18:$18,Sheet1!$19:$19,Sheet1!$21:$21</definedName>
    <definedName name="QB_DATA_1" localSheetId="1" hidden="1">Sheet1!$22:$22,Sheet1!$23:$23,Sheet1!$24:$24,Sheet1!$25:$25,Sheet1!$26:$26,Sheet1!$27:$27,Sheet1!$28:$28,Sheet1!$31:$31,Sheet1!$32:$32,Sheet1!$33:$33,Sheet1!$34:$34,Sheet1!$35:$35,Sheet1!$36:$36,Sheet1!$37:$37,Sheet1!$38:$38,Sheet1!$39:$39</definedName>
    <definedName name="QB_DATA_2" localSheetId="1" hidden="1">Sheet1!$40:$40,Sheet1!$44:$44,Sheet1!$45:$45,Sheet1!$46:$46,Sheet1!$47:$47,Sheet1!$48:$48,Sheet1!$49:$49,Sheet1!$50:$50,Sheet1!$51:$51,Sheet1!$52:$52,Sheet1!$54:$54,Sheet1!$55:$55,Sheet1!$56:$56,Sheet1!$57:$57,Sheet1!$58:$58,Sheet1!$60:$60</definedName>
    <definedName name="QB_DATA_3" localSheetId="1" hidden="1">Sheet1!$61:$61,Sheet1!$62:$62,Sheet1!$63:$63,Sheet1!$64:$64,Sheet1!$65:$65,Sheet1!$66:$66,Sheet1!$67:$67,Sheet1!$68:$68,Sheet1!$69:$69,Sheet1!$71:$71,Sheet1!$72:$72,Sheet1!$73:$73,Sheet1!$74:$74,Sheet1!$75:$75,Sheet1!$77:$77,Sheet1!$79:$79</definedName>
    <definedName name="QB_DATA_4" localSheetId="1" hidden="1">Sheet1!$80:$80,Sheet1!$82:$82,Sheet1!$83:$83,Sheet1!$85:$85,Sheet1!$86:$86,Sheet1!$87:$87,Sheet1!$89:$89,Sheet1!$90:$90,Sheet1!$92:$92,Sheet1!$93:$93,Sheet1!$94:$94,Sheet1!$95:$95,Sheet1!$96:$96,Sheet1!$97:$97,Sheet1!$103:$103,Sheet1!$104:$104</definedName>
    <definedName name="QB_DATA_5" localSheetId="1" hidden="1">Sheet1!$105:$105</definedName>
    <definedName name="QB_FORMULA_0" localSheetId="1" hidden="1">Sheet1!$AE$4,Sheet1!$AE$5,Sheet1!$AE$6,Sheet1!$AE$7,Sheet1!$AE$8,Sheet1!$AE$9,Sheet1!$AE$10,Sheet1!$AE$11,Sheet1!$AE$12,Sheet1!$AE$13,Sheet1!$AE$14,Sheet1!$AE$15,Sheet1!$AE$16,Sheet1!$AE$18,Sheet1!$AE$19,Sheet1!$G$20</definedName>
    <definedName name="QB_FORMULA_1" localSheetId="1" hidden="1">Sheet1!$I$20,Sheet1!$K$20,Sheet1!$M$20,Sheet1!$O$20,Sheet1!$Q$20,Sheet1!$S$20,Sheet1!$U$20,Sheet1!$W$20,Sheet1!$Y$20,Sheet1!$AA$20,Sheet1!$AC$20,Sheet1!$AE$20,Sheet1!$AE$21,Sheet1!$AE$22,Sheet1!$AE$23,Sheet1!$AE$24</definedName>
    <definedName name="QB_FORMULA_10" localSheetId="1" hidden="1">Sheet1!$AE$87,Sheet1!$G$88,Sheet1!$I$88,Sheet1!$K$88,Sheet1!$M$88,Sheet1!$O$88,Sheet1!$Q$88,Sheet1!$S$88,Sheet1!$U$88,Sheet1!$W$88,Sheet1!$Y$88,Sheet1!$AA$88,Sheet1!$AC$88,Sheet1!$AE$88,Sheet1!$AE$89,Sheet1!$AE$90</definedName>
    <definedName name="QB_FORMULA_11" localSheetId="1" hidden="1">Sheet1!$AE$92,Sheet1!$AE$93,Sheet1!$AE$94,Sheet1!$AE$95,Sheet1!$AE$96,Sheet1!$AE$97,Sheet1!$G$98,Sheet1!$I$98,Sheet1!$K$98,Sheet1!$M$98,Sheet1!$O$98,Sheet1!$Q$98,Sheet1!$S$98,Sheet1!$U$98,Sheet1!$W$98,Sheet1!$Y$98</definedName>
    <definedName name="QB_FORMULA_12" localSheetId="1" hidden="1">Sheet1!$AA$98,Sheet1!$AC$98,Sheet1!$AE$98,Sheet1!$G$99,Sheet1!$I$99,Sheet1!$K$99,Sheet1!$M$99,Sheet1!$O$99,Sheet1!$Q$99,Sheet1!$S$99,Sheet1!$U$99,Sheet1!$W$99,Sheet1!$Y$99,Sheet1!$AA$99,Sheet1!$AC$99,Sheet1!$AE$99</definedName>
    <definedName name="QB_FORMULA_13" localSheetId="1" hidden="1">Sheet1!$G$100,Sheet1!$I$100,Sheet1!$K$100,Sheet1!$M$100,Sheet1!$O$100,Sheet1!$Q$100,Sheet1!$S$100,Sheet1!$U$100,Sheet1!$W$100,Sheet1!$Y$100,Sheet1!$AA$100,Sheet1!$AC$100,Sheet1!$AE$100,Sheet1!$AE$103,Sheet1!$AE$104,Sheet1!$AE$105</definedName>
    <definedName name="QB_FORMULA_14" localSheetId="1" hidden="1">Sheet1!$G$106,Sheet1!$I$106,Sheet1!$K$106,Sheet1!$M$106,Sheet1!$O$106,Sheet1!$Q$106,Sheet1!$S$106,Sheet1!$U$106,Sheet1!$W$106,Sheet1!$Y$106,Sheet1!$AA$106,Sheet1!$AC$106,Sheet1!$AE$106,Sheet1!$G$107,Sheet1!$I$107,Sheet1!$K$107</definedName>
    <definedName name="QB_FORMULA_15" localSheetId="1" hidden="1">Sheet1!$M$107,Sheet1!$O$107,Sheet1!$Q$107,Sheet1!$S$107,Sheet1!$U$107,Sheet1!$W$107,Sheet1!$Y$107,Sheet1!$AA$107,Sheet1!$AC$107,Sheet1!$AE$107,Sheet1!$G$108,Sheet1!$I$108,Sheet1!$K$108,Sheet1!$M$108,Sheet1!$O$108,Sheet1!$Q$108</definedName>
    <definedName name="QB_FORMULA_16" localSheetId="1" hidden="1">Sheet1!$S$108,Sheet1!$U$108,Sheet1!$W$108,Sheet1!$Y$108,Sheet1!$AA$108,Sheet1!$AC$108,Sheet1!$AE$108</definedName>
    <definedName name="QB_FORMULA_2" localSheetId="1" hidden="1">Sheet1!$AE$25,Sheet1!$AE$26,Sheet1!$AE$27,Sheet1!$AE$28,Sheet1!$G$29,Sheet1!$I$29,Sheet1!$K$29,Sheet1!$M$29,Sheet1!$O$29,Sheet1!$Q$29,Sheet1!$S$29,Sheet1!$U$29,Sheet1!$W$29,Sheet1!$Y$29,Sheet1!$AA$29,Sheet1!$AC$29</definedName>
    <definedName name="QB_FORMULA_3" localSheetId="1" hidden="1">Sheet1!$AE$29,Sheet1!$AE$31,Sheet1!$AE$32,Sheet1!$AE$33,Sheet1!$AE$34,Sheet1!$AE$35,Sheet1!$AE$36,Sheet1!$AE$37,Sheet1!$AE$38,Sheet1!$AE$39,Sheet1!$AE$40,Sheet1!$G$41,Sheet1!$I$41,Sheet1!$K$41,Sheet1!$M$41,Sheet1!$O$41</definedName>
    <definedName name="QB_FORMULA_4" localSheetId="1" hidden="1">Sheet1!$Q$41,Sheet1!$S$41,Sheet1!$U$41,Sheet1!$W$41,Sheet1!$Y$41,Sheet1!$AA$41,Sheet1!$AC$41,Sheet1!$AE$41,Sheet1!$G$42,Sheet1!$I$42,Sheet1!$K$42,Sheet1!$M$42,Sheet1!$O$42,Sheet1!$Q$42,Sheet1!$S$42,Sheet1!$U$42</definedName>
    <definedName name="QB_FORMULA_5" localSheetId="1" hidden="1">Sheet1!$W$42,Sheet1!$Y$42,Sheet1!$AA$42,Sheet1!$AC$42,Sheet1!$AE$42,Sheet1!$AE$44,Sheet1!$AE$45,Sheet1!$AE$46,Sheet1!$AE$47,Sheet1!$AE$48,Sheet1!$AE$49,Sheet1!$AE$50,Sheet1!$AE$51,Sheet1!$AE$52,Sheet1!$AE$54,Sheet1!$AE$55</definedName>
    <definedName name="QB_FORMULA_6" localSheetId="1" hidden="1">Sheet1!$AE$56,Sheet1!$AE$57,Sheet1!$AE$58,Sheet1!$G$59,Sheet1!$I$59,Sheet1!$K$59,Sheet1!$M$59,Sheet1!$O$59,Sheet1!$Q$59,Sheet1!$S$59,Sheet1!$U$59,Sheet1!$W$59,Sheet1!$Y$59,Sheet1!$AA$59,Sheet1!$AC$59,Sheet1!$AE$59</definedName>
    <definedName name="QB_FORMULA_7" localSheetId="1" hidden="1">Sheet1!$AE$60,Sheet1!$AE$61,Sheet1!$AE$62,Sheet1!$AE$63,Sheet1!$AE$64,Sheet1!$AE$65,Sheet1!$AE$66,Sheet1!$AE$67,Sheet1!$AE$68,Sheet1!$AE$69,Sheet1!$AE$71,Sheet1!$AE$72,Sheet1!$AE$73,Sheet1!$AE$74,Sheet1!$AE$75,Sheet1!$G$76</definedName>
    <definedName name="QB_FORMULA_8" localSheetId="1" hidden="1">Sheet1!$I$76,Sheet1!$K$76,Sheet1!$M$76,Sheet1!$O$76,Sheet1!$Q$76,Sheet1!$S$76,Sheet1!$U$76,Sheet1!$W$76,Sheet1!$Y$76,Sheet1!$AA$76,Sheet1!$AC$76,Sheet1!$AE$76,Sheet1!$AE$77,Sheet1!$AE$79,Sheet1!$AE$80,Sheet1!$G$81</definedName>
    <definedName name="QB_FORMULA_9" localSheetId="1" hidden="1">Sheet1!$I$81,Sheet1!$K$81,Sheet1!$M$81,Sheet1!$O$81,Sheet1!$Q$81,Sheet1!$S$81,Sheet1!$U$81,Sheet1!$W$81,Sheet1!$Y$81,Sheet1!$AA$81,Sheet1!$AC$81,Sheet1!$AE$81,Sheet1!$AE$82,Sheet1!$AE$83,Sheet1!$AE$85,Sheet1!$AE$86</definedName>
    <definedName name="QB_ROW_101240" localSheetId="1" hidden="1">Sheet1!$E$12</definedName>
    <definedName name="QB_ROW_102240" localSheetId="1" hidden="1">Sheet1!$E$6</definedName>
    <definedName name="QB_ROW_103240" localSheetId="1" hidden="1">Sheet1!$E$5</definedName>
    <definedName name="QB_ROW_106240" localSheetId="1" hidden="1">Sheet1!$E$22</definedName>
    <definedName name="QB_ROW_107240" localSheetId="1" hidden="1">Sheet1!$E$14</definedName>
    <definedName name="QB_ROW_108240" localSheetId="1" hidden="1">Sheet1!$E$13</definedName>
    <definedName name="QB_ROW_114250" localSheetId="1" hidden="1">Sheet1!$F$54</definedName>
    <definedName name="QB_ROW_120250" localSheetId="1" hidden="1">Sheet1!$F$96</definedName>
    <definedName name="QB_ROW_122250" localSheetId="1" hidden="1">Sheet1!$F$56</definedName>
    <definedName name="QB_ROW_124240" localSheetId="1" hidden="1">Sheet1!$E$49</definedName>
    <definedName name="QB_ROW_131240" localSheetId="1" hidden="1">Sheet1!$E$82</definedName>
    <definedName name="QB_ROW_132240" localSheetId="1" hidden="1">Sheet1!$E$26</definedName>
    <definedName name="QB_ROW_137240" localSheetId="1" hidden="1">Sheet1!$E$24</definedName>
    <definedName name="QB_ROW_139250" localSheetId="1" hidden="1">Sheet1!$F$86</definedName>
    <definedName name="QB_ROW_140250" localSheetId="1" hidden="1">Sheet1!$F$85</definedName>
    <definedName name="QB_ROW_141240" localSheetId="1" hidden="1">Sheet1!$E$39</definedName>
    <definedName name="QB_ROW_144240" localSheetId="1" hidden="1">Sheet1!$E$32</definedName>
    <definedName name="QB_ROW_145240" localSheetId="1" hidden="1">Sheet1!$E$47</definedName>
    <definedName name="QB_ROW_146240" localSheetId="1" hidden="1">Sheet1!$E$67</definedName>
    <definedName name="QB_ROW_147240" localSheetId="1" hidden="1">Sheet1!$E$28</definedName>
    <definedName name="QB_ROW_152240" localSheetId="1" hidden="1">Sheet1!$E$38</definedName>
    <definedName name="QB_ROW_156240" localSheetId="1" hidden="1">Sheet1!$E$23</definedName>
    <definedName name="QB_ROW_157240" localSheetId="1" hidden="1">Sheet1!$E$27</definedName>
    <definedName name="QB_ROW_159240" localSheetId="1" hidden="1">Sheet1!$E$37</definedName>
    <definedName name="QB_ROW_170040" localSheetId="1" hidden="1">Sheet1!$E$17</definedName>
    <definedName name="QB_ROW_170340" localSheetId="1" hidden="1">Sheet1!$E$20</definedName>
    <definedName name="QB_ROW_172250" localSheetId="1" hidden="1">Sheet1!$F$55</definedName>
    <definedName name="QB_ROW_174240" localSheetId="1" hidden="1">Sheet1!$E$34</definedName>
    <definedName name="QB_ROW_175240" localSheetId="1" hidden="1">Sheet1!$E$36</definedName>
    <definedName name="QB_ROW_182240" localSheetId="1" hidden="1">Sheet1!$E$10</definedName>
    <definedName name="QB_ROW_18301" localSheetId="1" hidden="1">Sheet1!$A$108</definedName>
    <definedName name="QB_ROW_183240" localSheetId="1" hidden="1">Sheet1!$E$31</definedName>
    <definedName name="QB_ROW_184240" localSheetId="1" hidden="1">Sheet1!$E$40</definedName>
    <definedName name="QB_ROW_185250" localSheetId="1" hidden="1">Sheet1!$F$19</definedName>
    <definedName name="QB_ROW_186250" localSheetId="1" hidden="1">Sheet1!$F$18</definedName>
    <definedName name="QB_ROW_187240" localSheetId="1" hidden="1">Sheet1!$E$9</definedName>
    <definedName name="QB_ROW_188240" localSheetId="1" hidden="1">Sheet1!$E$90</definedName>
    <definedName name="QB_ROW_19011" localSheetId="1" hidden="1">Sheet1!$B$2</definedName>
    <definedName name="QB_ROW_19311" localSheetId="1" hidden="1">Sheet1!$B$100</definedName>
    <definedName name="QB_ROW_194240" localSheetId="1" hidden="1">Sheet1!$E$33</definedName>
    <definedName name="QB_ROW_195240" localSheetId="1" hidden="1">Sheet1!$E$11</definedName>
    <definedName name="QB_ROW_197240" localSheetId="1" hidden="1">Sheet1!$E$16</definedName>
    <definedName name="QB_ROW_20031" localSheetId="1" hidden="1">Sheet1!$D$3</definedName>
    <definedName name="QB_ROW_201240" localSheetId="1" hidden="1">Sheet1!$E$63</definedName>
    <definedName name="QB_ROW_203240" localSheetId="1" hidden="1">Sheet1!$E$50</definedName>
    <definedName name="QB_ROW_20331" localSheetId="1" hidden="1">Sheet1!$D$29</definedName>
    <definedName name="QB_ROW_21031" localSheetId="1" hidden="1">Sheet1!$D$43</definedName>
    <definedName name="QB_ROW_211230" localSheetId="1" hidden="1">Sheet1!$D$104</definedName>
    <definedName name="QB_ROW_213230" localSheetId="1" hidden="1">Sheet1!$D$105</definedName>
    <definedName name="QB_ROW_21331" localSheetId="1" hidden="1">Sheet1!$D$99</definedName>
    <definedName name="QB_ROW_215240" localSheetId="1" hidden="1">Sheet1!$E$62</definedName>
    <definedName name="QB_ROW_217240" localSheetId="1" hidden="1">Sheet1!$E$35</definedName>
    <definedName name="QB_ROW_218240" localSheetId="1" hidden="1">Sheet1!$E$7</definedName>
    <definedName name="QB_ROW_22011" localSheetId="1" hidden="1">Sheet1!$B$101</definedName>
    <definedName name="QB_ROW_22240" localSheetId="1" hidden="1">Sheet1!$E$44</definedName>
    <definedName name="QB_ROW_22311" localSheetId="1" hidden="1">Sheet1!$B$107</definedName>
    <definedName name="QB_ROW_23240" localSheetId="1" hidden="1">Sheet1!$E$45</definedName>
    <definedName name="QB_ROW_24021" localSheetId="1" hidden="1">Sheet1!$C$102</definedName>
    <definedName name="QB_ROW_24240" localSheetId="1" hidden="1">Sheet1!$E$46</definedName>
    <definedName name="QB_ROW_24321" localSheetId="1" hidden="1">Sheet1!$C$106</definedName>
    <definedName name="QB_ROW_25240" localSheetId="1" hidden="1">Sheet1!$E$48</definedName>
    <definedName name="QB_ROW_27240" localSheetId="1" hidden="1">Sheet1!$E$52</definedName>
    <definedName name="QB_ROW_28040" localSheetId="1" hidden="1">Sheet1!$E$53</definedName>
    <definedName name="QB_ROW_28250" localSheetId="1" hidden="1">Sheet1!$F$58</definedName>
    <definedName name="QB_ROW_28340" localSheetId="1" hidden="1">Sheet1!$E$59</definedName>
    <definedName name="QB_ROW_29240" localSheetId="1" hidden="1">Sheet1!$E$60</definedName>
    <definedName name="QB_ROW_3240" localSheetId="1" hidden="1">Sheet1!$E$68</definedName>
    <definedName name="QB_ROW_33040" localSheetId="1" hidden="1">Sheet1!$E$78</definedName>
    <definedName name="QB_ROW_33250" localSheetId="1" hidden="1">Sheet1!$F$80</definedName>
    <definedName name="QB_ROW_33340" localSheetId="1" hidden="1">Sheet1!$E$81</definedName>
    <definedName name="QB_ROW_34240" localSheetId="1" hidden="1">Sheet1!$E$83</definedName>
    <definedName name="QB_ROW_35040" localSheetId="1" hidden="1">Sheet1!$E$84</definedName>
    <definedName name="QB_ROW_35250" localSheetId="1" hidden="1">Sheet1!$F$87</definedName>
    <definedName name="QB_ROW_35340" localSheetId="1" hidden="1">Sheet1!$E$88</definedName>
    <definedName name="QB_ROW_38040" localSheetId="1" hidden="1">Sheet1!$E$91</definedName>
    <definedName name="QB_ROW_38250" localSheetId="1" hidden="1">Sheet1!$F$97</definedName>
    <definedName name="QB_ROW_38340" localSheetId="1" hidden="1">Sheet1!$E$98</definedName>
    <definedName name="QB_ROW_39230" localSheetId="1" hidden="1">Sheet1!$D$103</definedName>
    <definedName name="QB_ROW_46240" localSheetId="1" hidden="1">Sheet1!$E$21</definedName>
    <definedName name="QB_ROW_49250" localSheetId="1" hidden="1">Sheet1!$F$79</definedName>
    <definedName name="QB_ROW_52240" localSheetId="1" hidden="1">Sheet1!$E$77</definedName>
    <definedName name="QB_ROW_53240" localSheetId="1" hidden="1">Sheet1!$E$64</definedName>
    <definedName name="QB_ROW_61250" localSheetId="1" hidden="1">Sheet1!$F$92</definedName>
    <definedName name="QB_ROW_62250" localSheetId="1" hidden="1">Sheet1!$F$93</definedName>
    <definedName name="QB_ROW_64250" localSheetId="1" hidden="1">Sheet1!$F$94</definedName>
    <definedName name="QB_ROW_66240" localSheetId="1" hidden="1">Sheet1!$E$66</definedName>
    <definedName name="QB_ROW_68040" localSheetId="1" hidden="1">Sheet1!$E$70</definedName>
    <definedName name="QB_ROW_68340" localSheetId="1" hidden="1">Sheet1!$E$76</definedName>
    <definedName name="QB_ROW_69250" localSheetId="1" hidden="1">Sheet1!$F$74</definedName>
    <definedName name="QB_ROW_70250" localSheetId="1" hidden="1">Sheet1!$F$71</definedName>
    <definedName name="QB_ROW_71250" localSheetId="1" hidden="1">Sheet1!$F$75</definedName>
    <definedName name="QB_ROW_72250" localSheetId="1" hidden="1">Sheet1!$F$72</definedName>
    <definedName name="QB_ROW_75340" localSheetId="1" hidden="1">Sheet1!$E$89</definedName>
    <definedName name="QB_ROW_76240" localSheetId="1" hidden="1">Sheet1!$E$69</definedName>
    <definedName name="QB_ROW_78240" localSheetId="1" hidden="1">Sheet1!$E$61</definedName>
    <definedName name="QB_ROW_79240" localSheetId="1" hidden="1">Sheet1!$E$65</definedName>
    <definedName name="QB_ROW_80250" localSheetId="1" hidden="1">Sheet1!$F$57</definedName>
    <definedName name="QB_ROW_86321" localSheetId="1" hidden="1">Sheet1!$C$42</definedName>
    <definedName name="QB_ROW_87031" localSheetId="1" hidden="1">Sheet1!$D$30</definedName>
    <definedName name="QB_ROW_87331" localSheetId="1" hidden="1">Sheet1!$D$41</definedName>
    <definedName name="QB_ROW_88250" localSheetId="1" hidden="1">Sheet1!$F$73</definedName>
    <definedName name="QB_ROW_92240" localSheetId="1" hidden="1">Sheet1!$E$51</definedName>
    <definedName name="QB_ROW_93250" localSheetId="1" hidden="1">Sheet1!$F$95</definedName>
    <definedName name="QB_ROW_95240" localSheetId="1" hidden="1">Sheet1!$E$15</definedName>
    <definedName name="QB_ROW_97240" localSheetId="1" hidden="1">Sheet1!$E$25</definedName>
    <definedName name="QB_ROW_98240" localSheetId="1" hidden="1">Sheet1!$E$8</definedName>
    <definedName name="QB_ROW_99240" localSheetId="1" hidden="1">Sheet1!$E$4</definedName>
    <definedName name="QBCANSUPPORTUPDATE" localSheetId="1">TRUE</definedName>
    <definedName name="QBCOMPANYFILENAME" localSheetId="1">"C:\Users\debbie\Downloads\seasidea 3 llc 5.31.16 (QuickBooks24.0 Dec 12,2025  08 04 AM).QBA"</definedName>
    <definedName name="QBENDDATE" localSheetId="1">20241231</definedName>
    <definedName name="QBHEADERSONSCREEN" localSheetId="1">FALSE</definedName>
    <definedName name="QBMETADATASIZE" localSheetId="1">5924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6</definedName>
    <definedName name="QBREPORTCOMPANYID" localSheetId="1">"95bfe1375fa84b859dae42abb5a8d816"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11</definedName>
    <definedName name="QBREPORTSUBCOLAXIS" localSheetId="1">0</definedName>
    <definedName name="QBREPORTTYPE" localSheetId="1">0</definedName>
    <definedName name="QBROWHEADERS" localSheetId="1">6</definedName>
    <definedName name="QBSTARTDATE" localSheetId="1">20240101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8" i="1" l="1"/>
  <c r="AC108" i="1"/>
  <c r="AA108" i="1"/>
  <c r="Y108" i="1"/>
  <c r="W108" i="1"/>
  <c r="U108" i="1"/>
  <c r="S108" i="1"/>
  <c r="Q108" i="1"/>
  <c r="O108" i="1"/>
  <c r="M108" i="1"/>
  <c r="K108" i="1"/>
  <c r="I108" i="1"/>
  <c r="G108" i="1"/>
  <c r="AE107" i="1"/>
  <c r="AC107" i="1"/>
  <c r="AA107" i="1"/>
  <c r="Y107" i="1"/>
  <c r="W107" i="1"/>
  <c r="U107" i="1"/>
  <c r="S107" i="1"/>
  <c r="Q107" i="1"/>
  <c r="O107" i="1"/>
  <c r="M107" i="1"/>
  <c r="K107" i="1"/>
  <c r="I107" i="1"/>
  <c r="G107" i="1"/>
  <c r="AE106" i="1"/>
  <c r="AC106" i="1"/>
  <c r="AA106" i="1"/>
  <c r="Y106" i="1"/>
  <c r="W106" i="1"/>
  <c r="U106" i="1"/>
  <c r="S106" i="1"/>
  <c r="Q106" i="1"/>
  <c r="O106" i="1"/>
  <c r="M106" i="1"/>
  <c r="K106" i="1"/>
  <c r="I106" i="1"/>
  <c r="G106" i="1"/>
  <c r="AE105" i="1"/>
  <c r="AE104" i="1"/>
  <c r="AE103" i="1"/>
  <c r="AE100" i="1"/>
  <c r="AC100" i="1"/>
  <c r="AA100" i="1"/>
  <c r="Y100" i="1"/>
  <c r="W100" i="1"/>
  <c r="U100" i="1"/>
  <c r="S100" i="1"/>
  <c r="Q100" i="1"/>
  <c r="O100" i="1"/>
  <c r="M100" i="1"/>
  <c r="K100" i="1"/>
  <c r="I100" i="1"/>
  <c r="G100" i="1"/>
  <c r="AE99" i="1"/>
  <c r="AC99" i="1"/>
  <c r="AA99" i="1"/>
  <c r="Y99" i="1"/>
  <c r="W99" i="1"/>
  <c r="U99" i="1"/>
  <c r="S99" i="1"/>
  <c r="Q99" i="1"/>
  <c r="O99" i="1"/>
  <c r="M99" i="1"/>
  <c r="K99" i="1"/>
  <c r="I99" i="1"/>
  <c r="G99" i="1"/>
  <c r="AE98" i="1"/>
  <c r="AC98" i="1"/>
  <c r="AA98" i="1"/>
  <c r="Y98" i="1"/>
  <c r="W98" i="1"/>
  <c r="U98" i="1"/>
  <c r="S98" i="1"/>
  <c r="Q98" i="1"/>
  <c r="O98" i="1"/>
  <c r="M98" i="1"/>
  <c r="K98" i="1"/>
  <c r="I98" i="1"/>
  <c r="G98" i="1"/>
  <c r="AE97" i="1"/>
  <c r="AE96" i="1"/>
  <c r="AE95" i="1"/>
  <c r="AE94" i="1"/>
  <c r="AE93" i="1"/>
  <c r="AE92" i="1"/>
  <c r="AE90" i="1"/>
  <c r="AE89" i="1"/>
  <c r="AE88" i="1"/>
  <c r="AC88" i="1"/>
  <c r="AA88" i="1"/>
  <c r="Y88" i="1"/>
  <c r="W88" i="1"/>
  <c r="U88" i="1"/>
  <c r="S88" i="1"/>
  <c r="Q88" i="1"/>
  <c r="O88" i="1"/>
  <c r="M88" i="1"/>
  <c r="K88" i="1"/>
  <c r="I88" i="1"/>
  <c r="G88" i="1"/>
  <c r="AE87" i="1"/>
  <c r="AE86" i="1"/>
  <c r="AE85" i="1"/>
  <c r="AE83" i="1"/>
  <c r="AE82" i="1"/>
  <c r="AE81" i="1"/>
  <c r="AC81" i="1"/>
  <c r="AA81" i="1"/>
  <c r="Y81" i="1"/>
  <c r="W81" i="1"/>
  <c r="U81" i="1"/>
  <c r="S81" i="1"/>
  <c r="Q81" i="1"/>
  <c r="O81" i="1"/>
  <c r="M81" i="1"/>
  <c r="K81" i="1"/>
  <c r="I81" i="1"/>
  <c r="G81" i="1"/>
  <c r="AE80" i="1"/>
  <c r="AE79" i="1"/>
  <c r="AE77" i="1"/>
  <c r="AE76" i="1"/>
  <c r="AC76" i="1"/>
  <c r="AA76" i="1"/>
  <c r="Y76" i="1"/>
  <c r="W76" i="1"/>
  <c r="U76" i="1"/>
  <c r="S76" i="1"/>
  <c r="Q76" i="1"/>
  <c r="O76" i="1"/>
  <c r="M76" i="1"/>
  <c r="K76" i="1"/>
  <c r="I76" i="1"/>
  <c r="G76" i="1"/>
  <c r="AE75" i="1"/>
  <c r="AE74" i="1"/>
  <c r="AE73" i="1"/>
  <c r="AE72" i="1"/>
  <c r="AE71" i="1"/>
  <c r="AE69" i="1"/>
  <c r="AE68" i="1"/>
  <c r="AE67" i="1"/>
  <c r="AE66" i="1"/>
  <c r="AE65" i="1"/>
  <c r="AE64" i="1"/>
  <c r="AE63" i="1"/>
  <c r="AE62" i="1"/>
  <c r="AE61" i="1"/>
  <c r="AE60" i="1"/>
  <c r="AE59" i="1"/>
  <c r="AC59" i="1"/>
  <c r="AA59" i="1"/>
  <c r="Y59" i="1"/>
  <c r="W59" i="1"/>
  <c r="U59" i="1"/>
  <c r="S59" i="1"/>
  <c r="Q59" i="1"/>
  <c r="O59" i="1"/>
  <c r="M59" i="1"/>
  <c r="K59" i="1"/>
  <c r="I59" i="1"/>
  <c r="G59" i="1"/>
  <c r="AE58" i="1"/>
  <c r="AE57" i="1"/>
  <c r="AE56" i="1"/>
  <c r="AE55" i="1"/>
  <c r="AE54" i="1"/>
  <c r="AE52" i="1"/>
  <c r="AE51" i="1"/>
  <c r="AE50" i="1"/>
  <c r="AE49" i="1"/>
  <c r="AE48" i="1"/>
  <c r="AE47" i="1"/>
  <c r="AE46" i="1"/>
  <c r="AE45" i="1"/>
  <c r="AE44" i="1"/>
  <c r="AE42" i="1"/>
  <c r="AC42" i="1"/>
  <c r="AA42" i="1"/>
  <c r="Y42" i="1"/>
  <c r="W42" i="1"/>
  <c r="U42" i="1"/>
  <c r="S42" i="1"/>
  <c r="Q42" i="1"/>
  <c r="O42" i="1"/>
  <c r="M42" i="1"/>
  <c r="K42" i="1"/>
  <c r="I42" i="1"/>
  <c r="G42" i="1"/>
  <c r="AE41" i="1"/>
  <c r="AC41" i="1"/>
  <c r="AA41" i="1"/>
  <c r="Y41" i="1"/>
  <c r="W41" i="1"/>
  <c r="U41" i="1"/>
  <c r="S41" i="1"/>
  <c r="Q41" i="1"/>
  <c r="O41" i="1"/>
  <c r="M41" i="1"/>
  <c r="K41" i="1"/>
  <c r="I41" i="1"/>
  <c r="G41" i="1"/>
  <c r="AE40" i="1"/>
  <c r="AE39" i="1"/>
  <c r="AE38" i="1"/>
  <c r="AE37" i="1"/>
  <c r="AE36" i="1"/>
  <c r="AE35" i="1"/>
  <c r="AE34" i="1"/>
  <c r="AE33" i="1"/>
  <c r="AE32" i="1"/>
  <c r="AE31" i="1"/>
  <c r="AE29" i="1"/>
  <c r="AC29" i="1"/>
  <c r="AA29" i="1"/>
  <c r="Y29" i="1"/>
  <c r="W29" i="1"/>
  <c r="U29" i="1"/>
  <c r="S29" i="1"/>
  <c r="Q29" i="1"/>
  <c r="O29" i="1"/>
  <c r="M29" i="1"/>
  <c r="K29" i="1"/>
  <c r="I29" i="1"/>
  <c r="G29" i="1"/>
  <c r="AE28" i="1"/>
  <c r="AE27" i="1"/>
  <c r="AE26" i="1"/>
  <c r="AE25" i="1"/>
  <c r="AE24" i="1"/>
  <c r="AE23" i="1"/>
  <c r="AE22" i="1"/>
  <c r="AE21" i="1"/>
  <c r="AE20" i="1"/>
  <c r="AC20" i="1"/>
  <c r="AA20" i="1"/>
  <c r="Y20" i="1"/>
  <c r="W20" i="1"/>
  <c r="U20" i="1"/>
  <c r="S20" i="1"/>
  <c r="Q20" i="1"/>
  <c r="O20" i="1"/>
  <c r="M20" i="1"/>
  <c r="K20" i="1"/>
  <c r="I20" i="1"/>
  <c r="G20" i="1"/>
  <c r="AE19" i="1"/>
  <c r="AE18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</calcChain>
</file>

<file path=xl/sharedStrings.xml><?xml version="1.0" encoding="utf-8"?>
<sst xmlns="http://schemas.openxmlformats.org/spreadsheetml/2006/main" count="120" uniqueCount="119">
  <si>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</si>
  <si>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</si>
  <si>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</si>
  <si>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</si>
  <si>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</si>
  <si>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</si>
  <si>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</si>
  <si>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</si>
  <si>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</si>
  <si>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</si>
  <si>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</si>
  <si>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</si>
  <si>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TOTAL</t>
  </si>
  <si>
    <t>Ordinary Income/Expense</t>
  </si>
  <si>
    <t>Income</t>
  </si>
  <si>
    <t>Annual dockage/storage</t>
  </si>
  <si>
    <t>Bottom Paint</t>
  </si>
  <si>
    <t>Bottom Wash</t>
  </si>
  <si>
    <t>Brokerage Commissions</t>
  </si>
  <si>
    <t>Dockside Electric</t>
  </si>
  <si>
    <t>Extended Warranty</t>
  </si>
  <si>
    <t>Finance Commission</t>
  </si>
  <si>
    <t>Gas Dock Fuel</t>
  </si>
  <si>
    <t>Hauling</t>
  </si>
  <si>
    <t>Labor</t>
  </si>
  <si>
    <t>Land Storage</t>
  </si>
  <si>
    <t>Marina Income</t>
  </si>
  <si>
    <t>New Boat Fuel</t>
  </si>
  <si>
    <t>New Boat Sales</t>
  </si>
  <si>
    <t>New Boats</t>
  </si>
  <si>
    <t>Trade In</t>
  </si>
  <si>
    <t>Total New Boat Sales</t>
  </si>
  <si>
    <t>Other Income</t>
  </si>
  <si>
    <t>Rental Income</t>
  </si>
  <si>
    <t>Shrink Wrap</t>
  </si>
  <si>
    <t>Subcontracted repairs</t>
  </si>
  <si>
    <t>Summer Dockage</t>
  </si>
  <si>
    <t>Used Boat Sales</t>
  </si>
  <si>
    <t>Warranty</t>
  </si>
  <si>
    <t>Winter Storage</t>
  </si>
  <si>
    <t>Total Income</t>
  </si>
  <si>
    <t>Cost of Goods Sold</t>
  </si>
  <si>
    <t>COGS- parts</t>
  </si>
  <si>
    <t>COGS-Boats &amp; Trailers (Inc.)</t>
  </si>
  <si>
    <t>COGS-document services</t>
  </si>
  <si>
    <t>COGS - Boat Purchases</t>
  </si>
  <si>
    <t>COGS - Extended Warranty</t>
  </si>
  <si>
    <t>COGS - Fuel</t>
  </si>
  <si>
    <t>COGS - Subcontracted Repairs</t>
  </si>
  <si>
    <t>Equipment &amp; supplies COGS</t>
  </si>
  <si>
    <t>Trade Payoff</t>
  </si>
  <si>
    <t>Total COGS</t>
  </si>
  <si>
    <t>Gross Profit</t>
  </si>
  <si>
    <t>Expense</t>
  </si>
  <si>
    <t>Advertising and Promotion</t>
  </si>
  <si>
    <t>Automobile Expense</t>
  </si>
  <si>
    <t>Bank Service Charges</t>
  </si>
  <si>
    <t>Commissions</t>
  </si>
  <si>
    <t>Computer and Internet Expenses</t>
  </si>
  <si>
    <t>Credit card fees</t>
  </si>
  <si>
    <t>Credit report fees</t>
  </si>
  <si>
    <t>Donation</t>
  </si>
  <si>
    <t>Dues and Subscriptions</t>
  </si>
  <si>
    <t>Insurance Expense</t>
  </si>
  <si>
    <t>Disability Insurance</t>
  </si>
  <si>
    <t>Family Leave Insurance</t>
  </si>
  <si>
    <t>Medical Insurance</t>
  </si>
  <si>
    <t>Workers Comp</t>
  </si>
  <si>
    <t>Insurance Expense - Other</t>
  </si>
  <si>
    <t>Total Insurance Expense</t>
  </si>
  <si>
    <t>Interest Expense</t>
  </si>
  <si>
    <t>Licenses &amp; Fees</t>
  </si>
  <si>
    <t>LLC Filing Fee</t>
  </si>
  <si>
    <t>Merchant deposit fees</t>
  </si>
  <si>
    <t>Miscellaneous</t>
  </si>
  <si>
    <t>NYS Corporation Tax</t>
  </si>
  <si>
    <t>Office Expense</t>
  </si>
  <si>
    <t>Outside Services</t>
  </si>
  <si>
    <t>Payroll Expenses</t>
  </si>
  <si>
    <t>Payroll Processing fees</t>
  </si>
  <si>
    <t>Payroll Taxes</t>
  </si>
  <si>
    <t>FUTA</t>
  </si>
  <si>
    <t>NY SUI</t>
  </si>
  <si>
    <t>NYS MTA Tax</t>
  </si>
  <si>
    <t>Soc Security &amp; Medicare expense</t>
  </si>
  <si>
    <t>State Income Tax</t>
  </si>
  <si>
    <t>Total Payroll Taxes</t>
  </si>
  <si>
    <t>Permits</t>
  </si>
  <si>
    <t>Professional Fees</t>
  </si>
  <si>
    <t>Accounting</t>
  </si>
  <si>
    <t>Professional Fees - Other</t>
  </si>
  <si>
    <t>Total Professional Fees</t>
  </si>
  <si>
    <t>Reimbursed expenses</t>
  </si>
  <si>
    <t>Rent Expense</t>
  </si>
  <si>
    <t>Repairs and Maintenance</t>
  </si>
  <si>
    <t>Building</t>
  </si>
  <si>
    <t>Equipment</t>
  </si>
  <si>
    <t>Repairs and Maintenance - Other</t>
  </si>
  <si>
    <t>Total Repairs and Maintenance</t>
  </si>
  <si>
    <t>Salaries</t>
  </si>
  <si>
    <t>Salesmen Commissions</t>
  </si>
  <si>
    <t>Utilities</t>
  </si>
  <si>
    <t>Cablevision</t>
  </si>
  <si>
    <t>Electric</t>
  </si>
  <si>
    <t>Gas</t>
  </si>
  <si>
    <t>Oil</t>
  </si>
  <si>
    <t>Water</t>
  </si>
  <si>
    <t>Utilities - Other</t>
  </si>
  <si>
    <t>Total Utilities</t>
  </si>
  <si>
    <t>Total Expense</t>
  </si>
  <si>
    <t>Net Ordinary Income</t>
  </si>
  <si>
    <t>Other Income/Expense</t>
  </si>
  <si>
    <t>Other Expense</t>
  </si>
  <si>
    <t>Ask My Accountant</t>
  </si>
  <si>
    <t>NYS PTET Tax</t>
  </si>
  <si>
    <t>Sales Tax Expense</t>
  </si>
  <si>
    <t>Total Other Expense</t>
  </si>
  <si>
    <t>Net Other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</si>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</sst>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35856978-B1BF-4DA0-9B4F-20CC91DB7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8A7E1AA-8CBF-4AE5-BCB8-B84AE3668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9EAD-E156-4265-A18D-FE2AE70FB17C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118B-93F0-48EB-ACC4-AE8AC7AA9A3B}">
  <dimension ref="A1:AE109"/>
  <sheetViews>
    <sheetView tabSelected="1"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5" width="3" style="14" customWidth="1"/>
    <col min="6" max="6" width="27.85546875" style="14" customWidth="1"/>
    <col min="7" max="7" width="8.42578125" style="15" bestFit="1" customWidth="1"/>
    <col min="8" max="8" width="2.28515625" style="15" customWidth="1"/>
    <col min="9" max="9" width="8.7109375" style="15" bestFit="1" customWidth="1"/>
    <col min="10" max="10" width="2.28515625" style="15" customWidth="1"/>
    <col min="11" max="11" width="9.28515625" style="15" bestFit="1" customWidth="1"/>
    <col min="12" max="12" width="2.28515625" style="15" customWidth="1"/>
    <col min="13" max="13" width="10" style="15" bestFit="1" customWidth="1"/>
    <col min="14" max="14" width="2.28515625" style="15" customWidth="1"/>
    <col min="15" max="15" width="10" style="15" bestFit="1" customWidth="1"/>
    <col min="16" max="16" width="2.28515625" style="15" customWidth="1"/>
    <col min="17" max="17" width="10" style="15" bestFit="1" customWidth="1"/>
    <col min="18" max="18" width="2.28515625" style="15" customWidth="1"/>
    <col min="19" max="19" width="10" style="15" bestFit="1" customWidth="1"/>
    <col min="20" max="20" width="2.28515625" style="15" customWidth="1"/>
    <col min="21" max="21" width="8.7109375" style="15" bestFit="1" customWidth="1"/>
    <col min="22" max="22" width="2.28515625" style="15" customWidth="1"/>
    <col min="23" max="23" width="9.28515625" style="15" bestFit="1" customWidth="1"/>
    <col min="24" max="24" width="2.28515625" style="15" customWidth="1"/>
    <col min="25" max="25" width="10" style="15" bestFit="1" customWidth="1"/>
    <col min="26" max="26" width="2.28515625" style="15" customWidth="1"/>
    <col min="27" max="27" width="10" style="15" bestFit="1" customWidth="1"/>
    <col min="28" max="28" width="2.28515625" style="15" customWidth="1"/>
    <col min="29" max="29" width="9.28515625" style="15" bestFit="1" customWidth="1"/>
    <col min="30" max="30" width="2.28515625" style="15" customWidth="1"/>
    <col min="31" max="31" width="10.85546875" style="15" bestFit="1" customWidth="1"/>
  </cols>
  <sheetData>
    <row r="1" spans="1:31" s="13" customFormat="1" ht="15.75" thickBot="1" x14ac:dyDescent="0.3">
      <c r="A1" s="10"/>
      <c r="B1" s="10"/>
      <c r="C1" s="10"/>
      <c r="D1" s="10"/>
      <c r="E1" s="10"/>
      <c r="F1" s="10"/>
      <c r="G1" s="11" t="s">
        <v>0</v>
      </c>
      <c r="H1" s="12"/>
      <c r="I1" s="11" t="s">
        <v>1</v>
      </c>
      <c r="J1" s="12"/>
      <c r="K1" s="11" t="s">
        <v>2</v>
      </c>
      <c r="L1" s="12"/>
      <c r="M1" s="11" t="s">
        <v>3</v>
      </c>
      <c r="N1" s="12"/>
      <c r="O1" s="11" t="s">
        <v>4</v>
      </c>
      <c r="P1" s="12"/>
      <c r="Q1" s="11" t="s">
        <v>5</v>
      </c>
      <c r="R1" s="12"/>
      <c r="S1" s="11" t="s">
        <v>6</v>
      </c>
      <c r="T1" s="12"/>
      <c r="U1" s="11" t="s">
        <v>7</v>
      </c>
      <c r="V1" s="12"/>
      <c r="W1" s="11" t="s">
        <v>8</v>
      </c>
      <c r="X1" s="12"/>
      <c r="Y1" s="11" t="s">
        <v>9</v>
      </c>
      <c r="Z1" s="12"/>
      <c r="AA1" s="11" t="s">
        <v>10</v>
      </c>
      <c r="AB1" s="12"/>
      <c r="AC1" s="11" t="s">
        <v>11</v>
      </c>
      <c r="AD1" s="12"/>
      <c r="AE1" s="11" t="s">
        <v>12</v>
      </c>
    </row>
    <row r="2" spans="1:31" ht="15.75" thickTop="1" x14ac:dyDescent="0.25">
      <c r="A2" s="1"/>
      <c r="B2" s="1" t="s">
        <v>13</v>
      </c>
      <c r="C2" s="1"/>
      <c r="D2" s="1"/>
      <c r="E2" s="1"/>
      <c r="F2" s="1"/>
      <c r="G2" s="2"/>
      <c r="H2" s="3"/>
      <c r="I2" s="2"/>
      <c r="J2" s="3"/>
      <c r="K2" s="2"/>
      <c r="L2" s="3"/>
      <c r="M2" s="2"/>
      <c r="N2" s="3"/>
      <c r="O2" s="2"/>
      <c r="P2" s="3"/>
      <c r="Q2" s="2"/>
      <c r="R2" s="3"/>
      <c r="S2" s="2"/>
      <c r="T2" s="3"/>
      <c r="U2" s="2"/>
      <c r="V2" s="3"/>
      <c r="W2" s="2"/>
      <c r="X2" s="3"/>
      <c r="Y2" s="2"/>
      <c r="Z2" s="3"/>
      <c r="AA2" s="2"/>
      <c r="AB2" s="3"/>
      <c r="AC2" s="2"/>
      <c r="AD2" s="3"/>
      <c r="AE2" s="2"/>
    </row>
    <row r="3" spans="1:31" x14ac:dyDescent="0.25">
      <c r="A3" s="1"/>
      <c r="B3" s="1"/>
      <c r="C3" s="1"/>
      <c r="D3" s="1" t="s">
        <v>14</v>
      </c>
      <c r="E3" s="1"/>
      <c r="F3" s="1"/>
      <c r="G3" s="2"/>
      <c r="H3" s="3"/>
      <c r="I3" s="2"/>
      <c r="J3" s="3"/>
      <c r="K3" s="2"/>
      <c r="L3" s="3"/>
      <c r="M3" s="2"/>
      <c r="N3" s="3"/>
      <c r="O3" s="2"/>
      <c r="P3" s="3"/>
      <c r="Q3" s="2"/>
      <c r="R3" s="3"/>
      <c r="S3" s="2"/>
      <c r="T3" s="3"/>
      <c r="U3" s="2"/>
      <c r="V3" s="3"/>
      <c r="W3" s="2"/>
      <c r="X3" s="3"/>
      <c r="Y3" s="2"/>
      <c r="Z3" s="3"/>
      <c r="AA3" s="2"/>
      <c r="AB3" s="3"/>
      <c r="AC3" s="2"/>
      <c r="AD3" s="3"/>
      <c r="AE3" s="2"/>
    </row>
    <row r="4" spans="1:31" x14ac:dyDescent="0.25">
      <c r="A4" s="1"/>
      <c r="B4" s="1"/>
      <c r="C4" s="1"/>
      <c r="D4" s="1"/>
      <c r="E4" s="1" t="s">
        <v>15</v>
      </c>
      <c r="F4" s="1"/>
      <c r="G4" s="2">
        <v>0</v>
      </c>
      <c r="H4" s="3"/>
      <c r="I4" s="2">
        <v>0</v>
      </c>
      <c r="J4" s="3"/>
      <c r="K4" s="2">
        <v>12234</v>
      </c>
      <c r="L4" s="3"/>
      <c r="M4" s="2">
        <v>0</v>
      </c>
      <c r="N4" s="3"/>
      <c r="O4" s="2">
        <v>0</v>
      </c>
      <c r="P4" s="3"/>
      <c r="Q4" s="2">
        <v>3190</v>
      </c>
      <c r="R4" s="3"/>
      <c r="S4" s="2">
        <v>19855</v>
      </c>
      <c r="T4" s="3"/>
      <c r="U4" s="2">
        <v>0</v>
      </c>
      <c r="V4" s="3"/>
      <c r="W4" s="2">
        <v>0</v>
      </c>
      <c r="X4" s="3"/>
      <c r="Y4" s="2">
        <v>0</v>
      </c>
      <c r="Z4" s="3"/>
      <c r="AA4" s="2">
        <v>0</v>
      </c>
      <c r="AB4" s="3"/>
      <c r="AC4" s="2">
        <v>0</v>
      </c>
      <c r="AD4" s="3"/>
      <c r="AE4" s="2">
        <f>ROUND(SUM(G4:AC4),5)</f>
        <v>35279</v>
      </c>
    </row>
    <row r="5" spans="1:31" x14ac:dyDescent="0.25">
      <c r="A5" s="1"/>
      <c r="B5" s="1"/>
      <c r="C5" s="1"/>
      <c r="D5" s="1"/>
      <c r="E5" s="1" t="s">
        <v>16</v>
      </c>
      <c r="F5" s="1"/>
      <c r="G5" s="2">
        <v>960</v>
      </c>
      <c r="H5" s="3"/>
      <c r="I5" s="2">
        <v>1120</v>
      </c>
      <c r="J5" s="3"/>
      <c r="K5" s="2">
        <v>0</v>
      </c>
      <c r="L5" s="3"/>
      <c r="M5" s="2">
        <v>-1631</v>
      </c>
      <c r="N5" s="3"/>
      <c r="O5" s="2">
        <v>3120</v>
      </c>
      <c r="P5" s="3"/>
      <c r="Q5" s="2">
        <v>4430</v>
      </c>
      <c r="R5" s="3"/>
      <c r="S5" s="2">
        <v>-740</v>
      </c>
      <c r="T5" s="3"/>
      <c r="U5" s="2">
        <v>1160</v>
      </c>
      <c r="V5" s="3"/>
      <c r="W5" s="2">
        <v>5852</v>
      </c>
      <c r="X5" s="3"/>
      <c r="Y5" s="2">
        <v>37339</v>
      </c>
      <c r="Z5" s="3"/>
      <c r="AA5" s="2">
        <v>12959</v>
      </c>
      <c r="AB5" s="3"/>
      <c r="AC5" s="2">
        <v>7292</v>
      </c>
      <c r="AD5" s="3"/>
      <c r="AE5" s="2">
        <f>ROUND(SUM(G5:AC5),5)</f>
        <v>71861</v>
      </c>
    </row>
    <row r="6" spans="1:31" x14ac:dyDescent="0.25">
      <c r="A6" s="1"/>
      <c r="B6" s="1"/>
      <c r="C6" s="1"/>
      <c r="D6" s="1"/>
      <c r="E6" s="1" t="s">
        <v>17</v>
      </c>
      <c r="F6" s="1"/>
      <c r="G6" s="2">
        <v>400</v>
      </c>
      <c r="H6" s="3"/>
      <c r="I6" s="2">
        <v>280</v>
      </c>
      <c r="J6" s="3"/>
      <c r="K6" s="2">
        <v>10</v>
      </c>
      <c r="L6" s="3"/>
      <c r="M6" s="2">
        <v>676</v>
      </c>
      <c r="N6" s="3"/>
      <c r="O6" s="2">
        <v>1145</v>
      </c>
      <c r="P6" s="3"/>
      <c r="Q6" s="2">
        <v>1259</v>
      </c>
      <c r="R6" s="3"/>
      <c r="S6" s="2">
        <v>1715</v>
      </c>
      <c r="T6" s="3"/>
      <c r="U6" s="2">
        <v>1849</v>
      </c>
      <c r="V6" s="3"/>
      <c r="W6" s="2">
        <v>1730</v>
      </c>
      <c r="X6" s="3"/>
      <c r="Y6" s="2">
        <v>5745</v>
      </c>
      <c r="Z6" s="3"/>
      <c r="AA6" s="2">
        <v>2285.5</v>
      </c>
      <c r="AB6" s="3"/>
      <c r="AC6" s="2">
        <v>1060</v>
      </c>
      <c r="AD6" s="3"/>
      <c r="AE6" s="2">
        <f>ROUND(SUM(G6:AC6),5)</f>
        <v>18154.5</v>
      </c>
    </row>
    <row r="7" spans="1:31" x14ac:dyDescent="0.25">
      <c r="A7" s="1"/>
      <c r="B7" s="1"/>
      <c r="C7" s="1"/>
      <c r="D7" s="1"/>
      <c r="E7" s="1" t="s">
        <v>18</v>
      </c>
      <c r="F7" s="1"/>
      <c r="G7" s="2">
        <v>0</v>
      </c>
      <c r="H7" s="3"/>
      <c r="I7" s="2">
        <v>0</v>
      </c>
      <c r="J7" s="3"/>
      <c r="K7" s="2">
        <v>0</v>
      </c>
      <c r="L7" s="3"/>
      <c r="M7" s="2">
        <v>0</v>
      </c>
      <c r="N7" s="3"/>
      <c r="O7" s="2">
        <v>0</v>
      </c>
      <c r="P7" s="3"/>
      <c r="Q7" s="2">
        <v>0</v>
      </c>
      <c r="R7" s="3"/>
      <c r="S7" s="2">
        <v>0</v>
      </c>
      <c r="T7" s="3"/>
      <c r="U7" s="2">
        <v>0</v>
      </c>
      <c r="V7" s="3"/>
      <c r="W7" s="2">
        <v>0</v>
      </c>
      <c r="X7" s="3"/>
      <c r="Y7" s="2">
        <v>6585.6</v>
      </c>
      <c r="Z7" s="3"/>
      <c r="AA7" s="2">
        <v>34000</v>
      </c>
      <c r="AB7" s="3"/>
      <c r="AC7" s="2">
        <v>17359.05</v>
      </c>
      <c r="AD7" s="3"/>
      <c r="AE7" s="2">
        <f>ROUND(SUM(G7:AC7),5)</f>
        <v>57944.65</v>
      </c>
    </row>
    <row r="8" spans="1:31" x14ac:dyDescent="0.25">
      <c r="A8" s="1"/>
      <c r="B8" s="1"/>
      <c r="C8" s="1"/>
      <c r="D8" s="1"/>
      <c r="E8" s="1" t="s">
        <v>19</v>
      </c>
      <c r="F8" s="1"/>
      <c r="G8" s="2">
        <v>0</v>
      </c>
      <c r="H8" s="3"/>
      <c r="I8" s="2">
        <v>7925</v>
      </c>
      <c r="J8" s="3"/>
      <c r="K8" s="2">
        <v>1100</v>
      </c>
      <c r="L8" s="3"/>
      <c r="M8" s="2">
        <v>2550</v>
      </c>
      <c r="N8" s="3"/>
      <c r="O8" s="2">
        <v>3520</v>
      </c>
      <c r="P8" s="3"/>
      <c r="Q8" s="2">
        <v>2825</v>
      </c>
      <c r="R8" s="3"/>
      <c r="S8" s="2">
        <v>1250</v>
      </c>
      <c r="T8" s="3"/>
      <c r="U8" s="2">
        <v>1275</v>
      </c>
      <c r="V8" s="3"/>
      <c r="W8" s="2">
        <v>175</v>
      </c>
      <c r="X8" s="3"/>
      <c r="Y8" s="2">
        <v>9885</v>
      </c>
      <c r="Z8" s="3"/>
      <c r="AA8" s="2">
        <v>3475</v>
      </c>
      <c r="AB8" s="3"/>
      <c r="AC8" s="2">
        <v>2400</v>
      </c>
      <c r="AD8" s="3"/>
      <c r="AE8" s="2">
        <f>ROUND(SUM(G8:AC8),5)</f>
        <v>36380</v>
      </c>
    </row>
    <row r="9" spans="1:31" x14ac:dyDescent="0.25">
      <c r="A9" s="1"/>
      <c r="B9" s="1"/>
      <c r="C9" s="1"/>
      <c r="D9" s="1"/>
      <c r="E9" s="1" t="s">
        <v>20</v>
      </c>
      <c r="F9" s="1"/>
      <c r="G9" s="2">
        <v>0</v>
      </c>
      <c r="H9" s="3"/>
      <c r="I9" s="2">
        <v>0</v>
      </c>
      <c r="J9" s="3"/>
      <c r="K9" s="2">
        <v>-100</v>
      </c>
      <c r="L9" s="3"/>
      <c r="M9" s="2">
        <v>-434.5</v>
      </c>
      <c r="N9" s="3"/>
      <c r="O9" s="2">
        <v>-399.58</v>
      </c>
      <c r="P9" s="3"/>
      <c r="Q9" s="2">
        <v>-3878.69</v>
      </c>
      <c r="R9" s="3"/>
      <c r="S9" s="2">
        <v>2685.19</v>
      </c>
      <c r="T9" s="3"/>
      <c r="U9" s="2">
        <v>-19468.32</v>
      </c>
      <c r="V9" s="3"/>
      <c r="W9" s="2">
        <v>-1373.98</v>
      </c>
      <c r="X9" s="3"/>
      <c r="Y9" s="2">
        <v>3867.36</v>
      </c>
      <c r="Z9" s="3"/>
      <c r="AA9" s="2">
        <v>0</v>
      </c>
      <c r="AB9" s="3"/>
      <c r="AC9" s="2">
        <v>0</v>
      </c>
      <c r="AD9" s="3"/>
      <c r="AE9" s="2">
        <f>ROUND(SUM(G9:AC9),5)</f>
        <v>-19102.52</v>
      </c>
    </row>
    <row r="10" spans="1:31" x14ac:dyDescent="0.25">
      <c r="A10" s="1"/>
      <c r="B10" s="1"/>
      <c r="C10" s="1"/>
      <c r="D10" s="1"/>
      <c r="E10" s="1" t="s">
        <v>21</v>
      </c>
      <c r="F10" s="1"/>
      <c r="G10" s="2">
        <v>0</v>
      </c>
      <c r="H10" s="3"/>
      <c r="I10" s="2">
        <v>0</v>
      </c>
      <c r="J10" s="3"/>
      <c r="K10" s="2">
        <v>-1798.5</v>
      </c>
      <c r="L10" s="3"/>
      <c r="M10" s="2">
        <v>-4997.5</v>
      </c>
      <c r="N10" s="3"/>
      <c r="O10" s="2">
        <v>14315.35</v>
      </c>
      <c r="P10" s="3"/>
      <c r="Q10" s="2">
        <v>-1000</v>
      </c>
      <c r="R10" s="3"/>
      <c r="S10" s="2">
        <v>0</v>
      </c>
      <c r="T10" s="3"/>
      <c r="U10" s="2">
        <v>-3276.72</v>
      </c>
      <c r="V10" s="3"/>
      <c r="W10" s="2">
        <v>3338.42</v>
      </c>
      <c r="X10" s="3"/>
      <c r="Y10" s="2">
        <v>557.88</v>
      </c>
      <c r="Z10" s="3"/>
      <c r="AA10" s="2">
        <v>0</v>
      </c>
      <c r="AB10" s="3"/>
      <c r="AC10" s="2">
        <v>31905.38</v>
      </c>
      <c r="AD10" s="3"/>
      <c r="AE10" s="2">
        <f>ROUND(SUM(G10:AC10),5)</f>
        <v>39044.31</v>
      </c>
    </row>
    <row r="11" spans="1:31" x14ac:dyDescent="0.25">
      <c r="A11" s="1"/>
      <c r="B11" s="1"/>
      <c r="C11" s="1"/>
      <c r="D11" s="1"/>
      <c r="E11" s="1" t="s">
        <v>22</v>
      </c>
      <c r="F11" s="1"/>
      <c r="G11" s="2">
        <v>0</v>
      </c>
      <c r="H11" s="3"/>
      <c r="I11" s="2">
        <v>474.83</v>
      </c>
      <c r="J11" s="3"/>
      <c r="K11" s="2">
        <v>1127.74</v>
      </c>
      <c r="L11" s="3"/>
      <c r="M11" s="2">
        <v>11172.06</v>
      </c>
      <c r="N11" s="3"/>
      <c r="O11" s="2">
        <v>122472.29</v>
      </c>
      <c r="P11" s="3"/>
      <c r="Q11" s="2">
        <v>178086.06</v>
      </c>
      <c r="R11" s="3"/>
      <c r="S11" s="2">
        <v>225455.98</v>
      </c>
      <c r="T11" s="3"/>
      <c r="U11" s="2">
        <v>192037.58</v>
      </c>
      <c r="V11" s="3"/>
      <c r="W11" s="2">
        <v>121768.28</v>
      </c>
      <c r="X11" s="3"/>
      <c r="Y11" s="2">
        <v>79274.75</v>
      </c>
      <c r="Z11" s="3"/>
      <c r="AA11" s="2">
        <v>21970.22</v>
      </c>
      <c r="AB11" s="3"/>
      <c r="AC11" s="2">
        <v>1269.48</v>
      </c>
      <c r="AD11" s="3"/>
      <c r="AE11" s="2">
        <f>ROUND(SUM(G11:AC11),5)</f>
        <v>955109.27</v>
      </c>
    </row>
    <row r="12" spans="1:31" x14ac:dyDescent="0.25">
      <c r="A12" s="1"/>
      <c r="B12" s="1"/>
      <c r="C12" s="1"/>
      <c r="D12" s="1"/>
      <c r="E12" s="1" t="s">
        <v>23</v>
      </c>
      <c r="F12" s="1"/>
      <c r="G12" s="2">
        <v>924</v>
      </c>
      <c r="H12" s="3"/>
      <c r="I12" s="2">
        <v>2412</v>
      </c>
      <c r="J12" s="3"/>
      <c r="K12" s="2">
        <v>2321</v>
      </c>
      <c r="L12" s="3"/>
      <c r="M12" s="2">
        <v>4040</v>
      </c>
      <c r="N12" s="3"/>
      <c r="O12" s="2">
        <v>9576</v>
      </c>
      <c r="P12" s="3"/>
      <c r="Q12" s="2">
        <v>12275</v>
      </c>
      <c r="R12" s="3"/>
      <c r="S12" s="2">
        <v>3533.28</v>
      </c>
      <c r="T12" s="3"/>
      <c r="U12" s="2">
        <v>9507</v>
      </c>
      <c r="V12" s="3"/>
      <c r="W12" s="2">
        <v>13032</v>
      </c>
      <c r="X12" s="3"/>
      <c r="Y12" s="2">
        <v>29068</v>
      </c>
      <c r="Z12" s="3"/>
      <c r="AA12" s="2">
        <v>14677</v>
      </c>
      <c r="AB12" s="3"/>
      <c r="AC12" s="2">
        <v>13788</v>
      </c>
      <c r="AD12" s="3"/>
      <c r="AE12" s="2">
        <f>ROUND(SUM(G12:AC12),5)</f>
        <v>115153.28</v>
      </c>
    </row>
    <row r="13" spans="1:31" x14ac:dyDescent="0.25">
      <c r="A13" s="1"/>
      <c r="B13" s="1"/>
      <c r="C13" s="1"/>
      <c r="D13" s="1"/>
      <c r="E13" s="1" t="s">
        <v>24</v>
      </c>
      <c r="F13" s="1"/>
      <c r="G13" s="2">
        <v>3852.5</v>
      </c>
      <c r="H13" s="3"/>
      <c r="I13" s="2">
        <v>13039.49</v>
      </c>
      <c r="J13" s="3"/>
      <c r="K13" s="2">
        <v>-2774.75</v>
      </c>
      <c r="L13" s="3"/>
      <c r="M13" s="2">
        <v>3960.47</v>
      </c>
      <c r="N13" s="3"/>
      <c r="O13" s="2">
        <v>7690.31</v>
      </c>
      <c r="P13" s="3"/>
      <c r="Q13" s="2">
        <v>12671.82</v>
      </c>
      <c r="R13" s="3"/>
      <c r="S13" s="2">
        <v>5758.95</v>
      </c>
      <c r="T13" s="3"/>
      <c r="U13" s="2">
        <v>52301.68</v>
      </c>
      <c r="V13" s="3"/>
      <c r="W13" s="2">
        <v>26346.28</v>
      </c>
      <c r="X13" s="3"/>
      <c r="Y13" s="2">
        <v>33995.050000000003</v>
      </c>
      <c r="Z13" s="3"/>
      <c r="AA13" s="2">
        <v>65973.710000000006</v>
      </c>
      <c r="AB13" s="3"/>
      <c r="AC13" s="2">
        <v>25160.65</v>
      </c>
      <c r="AD13" s="3"/>
      <c r="AE13" s="2">
        <f>ROUND(SUM(G13:AC13),5)</f>
        <v>247976.16</v>
      </c>
    </row>
    <row r="14" spans="1:31" x14ac:dyDescent="0.25">
      <c r="A14" s="1"/>
      <c r="B14" s="1"/>
      <c r="C14" s="1"/>
      <c r="D14" s="1"/>
      <c r="E14" s="1" t="s">
        <v>25</v>
      </c>
      <c r="F14" s="1"/>
      <c r="G14" s="2">
        <v>0</v>
      </c>
      <c r="H14" s="3"/>
      <c r="I14" s="2">
        <v>0</v>
      </c>
      <c r="J14" s="3"/>
      <c r="K14" s="2">
        <v>1815</v>
      </c>
      <c r="L14" s="3"/>
      <c r="M14" s="2">
        <v>2200</v>
      </c>
      <c r="N14" s="3"/>
      <c r="O14" s="2">
        <v>1200</v>
      </c>
      <c r="P14" s="3"/>
      <c r="Q14" s="2">
        <v>2620</v>
      </c>
      <c r="R14" s="3"/>
      <c r="S14" s="2">
        <v>-3155</v>
      </c>
      <c r="T14" s="3"/>
      <c r="U14" s="2">
        <v>1990</v>
      </c>
      <c r="V14" s="3"/>
      <c r="W14" s="2">
        <v>545</v>
      </c>
      <c r="X14" s="3"/>
      <c r="Y14" s="2">
        <v>0</v>
      </c>
      <c r="Z14" s="3"/>
      <c r="AA14" s="2">
        <v>-2200</v>
      </c>
      <c r="AB14" s="3"/>
      <c r="AC14" s="2">
        <v>0</v>
      </c>
      <c r="AD14" s="3"/>
      <c r="AE14" s="2">
        <f>ROUND(SUM(G14:AC14),5)</f>
        <v>5015</v>
      </c>
    </row>
    <row r="15" spans="1:31" x14ac:dyDescent="0.25">
      <c r="A15" s="1"/>
      <c r="B15" s="1"/>
      <c r="C15" s="1"/>
      <c r="D15" s="1"/>
      <c r="E15" s="1" t="s">
        <v>26</v>
      </c>
      <c r="F15" s="1"/>
      <c r="G15" s="2">
        <v>0</v>
      </c>
      <c r="H15" s="3"/>
      <c r="I15" s="2">
        <v>0</v>
      </c>
      <c r="J15" s="3"/>
      <c r="K15" s="2">
        <v>788</v>
      </c>
      <c r="L15" s="3"/>
      <c r="M15" s="2">
        <v>322</v>
      </c>
      <c r="N15" s="3"/>
      <c r="O15" s="2">
        <v>2839.5</v>
      </c>
      <c r="P15" s="3"/>
      <c r="Q15" s="2">
        <v>3684</v>
      </c>
      <c r="R15" s="3"/>
      <c r="S15" s="2">
        <v>3502</v>
      </c>
      <c r="T15" s="3"/>
      <c r="U15" s="2">
        <v>3836</v>
      </c>
      <c r="V15" s="3"/>
      <c r="W15" s="2">
        <v>2553</v>
      </c>
      <c r="X15" s="3"/>
      <c r="Y15" s="2">
        <v>2332</v>
      </c>
      <c r="Z15" s="3"/>
      <c r="AA15" s="2">
        <v>1284</v>
      </c>
      <c r="AB15" s="3"/>
      <c r="AC15" s="2">
        <v>0</v>
      </c>
      <c r="AD15" s="3"/>
      <c r="AE15" s="2">
        <f>ROUND(SUM(G15:AC15),5)</f>
        <v>21140.5</v>
      </c>
    </row>
    <row r="16" spans="1:31" x14ac:dyDescent="0.25">
      <c r="A16" s="1"/>
      <c r="B16" s="1"/>
      <c r="C16" s="1"/>
      <c r="D16" s="1"/>
      <c r="E16" s="1" t="s">
        <v>27</v>
      </c>
      <c r="F16" s="1"/>
      <c r="G16" s="2">
        <v>0</v>
      </c>
      <c r="H16" s="3"/>
      <c r="I16" s="2">
        <v>1173.9000000000001</v>
      </c>
      <c r="J16" s="3"/>
      <c r="K16" s="2">
        <v>1259.33</v>
      </c>
      <c r="L16" s="3"/>
      <c r="M16" s="2">
        <v>731.28</v>
      </c>
      <c r="N16" s="3"/>
      <c r="O16" s="2">
        <v>478.02</v>
      </c>
      <c r="P16" s="3"/>
      <c r="Q16" s="2">
        <v>7776.68</v>
      </c>
      <c r="R16" s="3"/>
      <c r="S16" s="2">
        <v>-190.65</v>
      </c>
      <c r="T16" s="3"/>
      <c r="U16" s="2">
        <v>5840.19</v>
      </c>
      <c r="V16" s="3"/>
      <c r="W16" s="2">
        <v>5342.54</v>
      </c>
      <c r="X16" s="3"/>
      <c r="Y16" s="2">
        <v>-167.4</v>
      </c>
      <c r="Z16" s="3"/>
      <c r="AA16" s="2">
        <v>0</v>
      </c>
      <c r="AB16" s="3"/>
      <c r="AC16" s="2">
        <v>100.25</v>
      </c>
      <c r="AD16" s="3"/>
      <c r="AE16" s="2">
        <f>ROUND(SUM(G16:AC16),5)</f>
        <v>22344.14</v>
      </c>
    </row>
    <row r="17" spans="1:31" x14ac:dyDescent="0.25">
      <c r="A17" s="1"/>
      <c r="B17" s="1"/>
      <c r="C17" s="1"/>
      <c r="D17" s="1"/>
      <c r="E17" s="1" t="s">
        <v>28</v>
      </c>
      <c r="F17" s="1"/>
      <c r="G17" s="2"/>
      <c r="H17" s="3"/>
      <c r="I17" s="2"/>
      <c r="J17" s="3"/>
      <c r="K17" s="2"/>
      <c r="L17" s="3"/>
      <c r="M17" s="2"/>
      <c r="N17" s="3"/>
      <c r="O17" s="2"/>
      <c r="P17" s="3"/>
      <c r="Q17" s="2"/>
      <c r="R17" s="3"/>
      <c r="S17" s="2"/>
      <c r="T17" s="3"/>
      <c r="U17" s="2"/>
      <c r="V17" s="3"/>
      <c r="W17" s="2"/>
      <c r="X17" s="3"/>
      <c r="Y17" s="2"/>
      <c r="Z17" s="3"/>
      <c r="AA17" s="2"/>
      <c r="AB17" s="3"/>
      <c r="AC17" s="2"/>
      <c r="AD17" s="3"/>
      <c r="AE17" s="2"/>
    </row>
    <row r="18" spans="1:31" x14ac:dyDescent="0.25">
      <c r="A18" s="1"/>
      <c r="B18" s="1"/>
      <c r="C18" s="1"/>
      <c r="D18" s="1"/>
      <c r="E18" s="1"/>
      <c r="F18" s="1" t="s">
        <v>29</v>
      </c>
      <c r="G18" s="2">
        <v>0</v>
      </c>
      <c r="H18" s="3"/>
      <c r="I18" s="2">
        <v>0</v>
      </c>
      <c r="J18" s="3"/>
      <c r="K18" s="2">
        <v>192000</v>
      </c>
      <c r="L18" s="3"/>
      <c r="M18" s="2">
        <v>623400</v>
      </c>
      <c r="N18" s="3"/>
      <c r="O18" s="2">
        <v>402300</v>
      </c>
      <c r="P18" s="3"/>
      <c r="Q18" s="2">
        <v>0</v>
      </c>
      <c r="R18" s="3"/>
      <c r="S18" s="2">
        <v>1678985</v>
      </c>
      <c r="T18" s="3"/>
      <c r="U18" s="2">
        <v>0</v>
      </c>
      <c r="V18" s="3"/>
      <c r="W18" s="2">
        <v>0</v>
      </c>
      <c r="X18" s="3"/>
      <c r="Y18" s="2">
        <v>770000</v>
      </c>
      <c r="Z18" s="3"/>
      <c r="AA18" s="2">
        <v>639081</v>
      </c>
      <c r="AB18" s="3"/>
      <c r="AC18" s="2">
        <v>0</v>
      </c>
      <c r="AD18" s="3"/>
      <c r="AE18" s="2">
        <f>ROUND(SUM(G18:AC18),5)</f>
        <v>4305766</v>
      </c>
    </row>
    <row r="19" spans="1:31" ht="15.75" thickBot="1" x14ac:dyDescent="0.3">
      <c r="A19" s="1"/>
      <c r="B19" s="1"/>
      <c r="C19" s="1"/>
      <c r="D19" s="1"/>
      <c r="E19" s="1"/>
      <c r="F19" s="1" t="s">
        <v>30</v>
      </c>
      <c r="G19" s="4">
        <v>0</v>
      </c>
      <c r="H19" s="3"/>
      <c r="I19" s="4">
        <v>0</v>
      </c>
      <c r="J19" s="3"/>
      <c r="K19" s="4">
        <v>-54000</v>
      </c>
      <c r="L19" s="3"/>
      <c r="M19" s="4">
        <v>-424500</v>
      </c>
      <c r="N19" s="3"/>
      <c r="O19" s="4">
        <v>0</v>
      </c>
      <c r="P19" s="3"/>
      <c r="Q19" s="4">
        <v>0</v>
      </c>
      <c r="R19" s="3"/>
      <c r="S19" s="4">
        <v>0</v>
      </c>
      <c r="T19" s="3"/>
      <c r="U19" s="4">
        <v>0</v>
      </c>
      <c r="V19" s="3"/>
      <c r="W19" s="4">
        <v>0</v>
      </c>
      <c r="X19" s="3"/>
      <c r="Y19" s="4">
        <v>-799900</v>
      </c>
      <c r="Z19" s="3"/>
      <c r="AA19" s="4">
        <v>-340000</v>
      </c>
      <c r="AB19" s="3"/>
      <c r="AC19" s="4">
        <v>0</v>
      </c>
      <c r="AD19" s="3"/>
      <c r="AE19" s="4">
        <f>ROUND(SUM(G19:AC19),5)</f>
        <v>-1618400</v>
      </c>
    </row>
    <row r="20" spans="1:31" x14ac:dyDescent="0.25">
      <c r="A20" s="1"/>
      <c r="B20" s="1"/>
      <c r="C20" s="1"/>
      <c r="D20" s="1"/>
      <c r="E20" s="1" t="s">
        <v>31</v>
      </c>
      <c r="F20" s="1"/>
      <c r="G20" s="2">
        <f>ROUND(SUM(G17:G19),5)</f>
        <v>0</v>
      </c>
      <c r="H20" s="3"/>
      <c r="I20" s="2">
        <f>ROUND(SUM(I17:I19),5)</f>
        <v>0</v>
      </c>
      <c r="J20" s="3"/>
      <c r="K20" s="2">
        <f>ROUND(SUM(K17:K19),5)</f>
        <v>138000</v>
      </c>
      <c r="L20" s="3"/>
      <c r="M20" s="2">
        <f>ROUND(SUM(M17:M19),5)</f>
        <v>198900</v>
      </c>
      <c r="N20" s="3"/>
      <c r="O20" s="2">
        <f>ROUND(SUM(O17:O19),5)</f>
        <v>402300</v>
      </c>
      <c r="P20" s="3"/>
      <c r="Q20" s="2">
        <f>ROUND(SUM(Q17:Q19),5)</f>
        <v>0</v>
      </c>
      <c r="R20" s="3"/>
      <c r="S20" s="2">
        <f>ROUND(SUM(S17:S19),5)</f>
        <v>1678985</v>
      </c>
      <c r="T20" s="3"/>
      <c r="U20" s="2">
        <f>ROUND(SUM(U17:U19),5)</f>
        <v>0</v>
      </c>
      <c r="V20" s="3"/>
      <c r="W20" s="2">
        <f>ROUND(SUM(W17:W19),5)</f>
        <v>0</v>
      </c>
      <c r="X20" s="3"/>
      <c r="Y20" s="2">
        <f>ROUND(SUM(Y17:Y19),5)</f>
        <v>-29900</v>
      </c>
      <c r="Z20" s="3"/>
      <c r="AA20" s="2">
        <f>ROUND(SUM(AA17:AA19),5)</f>
        <v>299081</v>
      </c>
      <c r="AB20" s="3"/>
      <c r="AC20" s="2">
        <f>ROUND(SUM(AC17:AC19),5)</f>
        <v>0</v>
      </c>
      <c r="AD20" s="3"/>
      <c r="AE20" s="2">
        <f>ROUND(SUM(G20:AC20),5)</f>
        <v>2687366</v>
      </c>
    </row>
    <row r="21" spans="1:31" x14ac:dyDescent="0.25">
      <c r="A21" s="1"/>
      <c r="B21" s="1"/>
      <c r="C21" s="1"/>
      <c r="D21" s="1"/>
      <c r="E21" s="1" t="s">
        <v>32</v>
      </c>
      <c r="F21" s="1"/>
      <c r="G21" s="2">
        <v>18890.189999999999</v>
      </c>
      <c r="H21" s="3"/>
      <c r="I21" s="2">
        <v>-2750.67</v>
      </c>
      <c r="J21" s="3"/>
      <c r="K21" s="2">
        <v>20346.82</v>
      </c>
      <c r="L21" s="3"/>
      <c r="M21" s="2">
        <v>30884.82</v>
      </c>
      <c r="N21" s="3"/>
      <c r="O21" s="2">
        <v>39857.050000000003</v>
      </c>
      <c r="P21" s="3"/>
      <c r="Q21" s="2">
        <v>25628.25</v>
      </c>
      <c r="R21" s="3"/>
      <c r="S21" s="2">
        <v>37652.199999999997</v>
      </c>
      <c r="T21" s="3"/>
      <c r="U21" s="2">
        <v>42782.400000000001</v>
      </c>
      <c r="V21" s="3"/>
      <c r="W21" s="2">
        <v>17261.009999999998</v>
      </c>
      <c r="X21" s="3"/>
      <c r="Y21" s="2">
        <v>13171.88</v>
      </c>
      <c r="Z21" s="3"/>
      <c r="AA21" s="2">
        <v>34271.69</v>
      </c>
      <c r="AB21" s="3"/>
      <c r="AC21" s="2">
        <v>-63030.99</v>
      </c>
      <c r="AD21" s="3"/>
      <c r="AE21" s="2">
        <f>ROUND(SUM(G21:AC21),5)</f>
        <v>214964.65</v>
      </c>
    </row>
    <row r="22" spans="1:31" x14ac:dyDescent="0.25">
      <c r="A22" s="1"/>
      <c r="B22" s="1"/>
      <c r="C22" s="1"/>
      <c r="D22" s="1"/>
      <c r="E22" s="1" t="s">
        <v>33</v>
      </c>
      <c r="F22" s="1"/>
      <c r="G22" s="2">
        <v>0</v>
      </c>
      <c r="H22" s="3"/>
      <c r="I22" s="2">
        <v>2100</v>
      </c>
      <c r="J22" s="3"/>
      <c r="K22" s="2">
        <v>0</v>
      </c>
      <c r="L22" s="3"/>
      <c r="M22" s="2">
        <v>900</v>
      </c>
      <c r="N22" s="3"/>
      <c r="O22" s="2">
        <v>9750</v>
      </c>
      <c r="P22" s="3"/>
      <c r="Q22" s="2">
        <v>4750</v>
      </c>
      <c r="R22" s="3"/>
      <c r="S22" s="2">
        <v>0</v>
      </c>
      <c r="T22" s="3"/>
      <c r="U22" s="2">
        <v>28400</v>
      </c>
      <c r="V22" s="3"/>
      <c r="W22" s="2">
        <v>25400</v>
      </c>
      <c r="X22" s="3"/>
      <c r="Y22" s="2">
        <v>22650</v>
      </c>
      <c r="Z22" s="3"/>
      <c r="AA22" s="2">
        <v>15050</v>
      </c>
      <c r="AB22" s="3"/>
      <c r="AC22" s="2">
        <v>2699.52</v>
      </c>
      <c r="AD22" s="3"/>
      <c r="AE22" s="2">
        <f>ROUND(SUM(G22:AC22),5)</f>
        <v>111699.52</v>
      </c>
    </row>
    <row r="23" spans="1:31" x14ac:dyDescent="0.25">
      <c r="A23" s="1"/>
      <c r="B23" s="1"/>
      <c r="C23" s="1"/>
      <c r="D23" s="1"/>
      <c r="E23" s="1" t="s">
        <v>34</v>
      </c>
      <c r="F23" s="1"/>
      <c r="G23" s="2">
        <v>96</v>
      </c>
      <c r="H23" s="3"/>
      <c r="I23" s="2">
        <v>323</v>
      </c>
      <c r="J23" s="3"/>
      <c r="K23" s="2">
        <v>380</v>
      </c>
      <c r="L23" s="3"/>
      <c r="M23" s="2">
        <v>-1245</v>
      </c>
      <c r="N23" s="3"/>
      <c r="O23" s="2">
        <v>2409</v>
      </c>
      <c r="P23" s="3"/>
      <c r="Q23" s="2">
        <v>-342</v>
      </c>
      <c r="R23" s="3"/>
      <c r="S23" s="2">
        <v>-943</v>
      </c>
      <c r="T23" s="3"/>
      <c r="U23" s="2">
        <v>-726</v>
      </c>
      <c r="V23" s="3"/>
      <c r="W23" s="2">
        <v>11473</v>
      </c>
      <c r="X23" s="3"/>
      <c r="Y23" s="2">
        <v>41310.17</v>
      </c>
      <c r="Z23" s="3"/>
      <c r="AA23" s="2">
        <v>13905</v>
      </c>
      <c r="AB23" s="3"/>
      <c r="AC23" s="2">
        <v>9084</v>
      </c>
      <c r="AD23" s="3"/>
      <c r="AE23" s="2">
        <f>ROUND(SUM(G23:AC23),5)</f>
        <v>75724.17</v>
      </c>
    </row>
    <row r="24" spans="1:31" x14ac:dyDescent="0.25">
      <c r="A24" s="1"/>
      <c r="B24" s="1"/>
      <c r="C24" s="1"/>
      <c r="D24" s="1"/>
      <c r="E24" s="1" t="s">
        <v>35</v>
      </c>
      <c r="F24" s="1"/>
      <c r="G24" s="2">
        <v>3941.13</v>
      </c>
      <c r="H24" s="3"/>
      <c r="I24" s="2">
        <v>4675</v>
      </c>
      <c r="J24" s="3"/>
      <c r="K24" s="2">
        <v>2115.4899999999998</v>
      </c>
      <c r="L24" s="3"/>
      <c r="M24" s="2">
        <v>12263.71</v>
      </c>
      <c r="N24" s="3"/>
      <c r="O24" s="2">
        <v>35535.81</v>
      </c>
      <c r="P24" s="3"/>
      <c r="Q24" s="2">
        <v>31891.18</v>
      </c>
      <c r="R24" s="3"/>
      <c r="S24" s="2">
        <v>6959.94</v>
      </c>
      <c r="T24" s="3"/>
      <c r="U24" s="2">
        <v>15155.31</v>
      </c>
      <c r="V24" s="3"/>
      <c r="W24" s="2">
        <v>13284.26</v>
      </c>
      <c r="X24" s="3"/>
      <c r="Y24" s="2">
        <v>21784.87</v>
      </c>
      <c r="Z24" s="3"/>
      <c r="AA24" s="2">
        <v>16929.330000000002</v>
      </c>
      <c r="AB24" s="3"/>
      <c r="AC24" s="2">
        <v>7103.53</v>
      </c>
      <c r="AD24" s="3"/>
      <c r="AE24" s="2">
        <f>ROUND(SUM(G24:AC24),5)</f>
        <v>171639.56</v>
      </c>
    </row>
    <row r="25" spans="1:31" x14ac:dyDescent="0.25">
      <c r="A25" s="1"/>
      <c r="B25" s="1"/>
      <c r="C25" s="1"/>
      <c r="D25" s="1"/>
      <c r="E25" s="1" t="s">
        <v>36</v>
      </c>
      <c r="F25" s="1"/>
      <c r="G25" s="2">
        <v>0</v>
      </c>
      <c r="H25" s="3"/>
      <c r="I25" s="2">
        <v>143396.39000000001</v>
      </c>
      <c r="J25" s="3"/>
      <c r="K25" s="2">
        <v>114430</v>
      </c>
      <c r="L25" s="3"/>
      <c r="M25" s="2">
        <v>48890.9</v>
      </c>
      <c r="N25" s="3"/>
      <c r="O25" s="2">
        <v>70295.11</v>
      </c>
      <c r="P25" s="3"/>
      <c r="Q25" s="2">
        <v>37909.53</v>
      </c>
      <c r="R25" s="3"/>
      <c r="S25" s="2">
        <v>18447.53</v>
      </c>
      <c r="T25" s="3"/>
      <c r="U25" s="2">
        <v>14089.26</v>
      </c>
      <c r="V25" s="3"/>
      <c r="W25" s="2">
        <v>9080</v>
      </c>
      <c r="X25" s="3"/>
      <c r="Y25" s="2">
        <v>205910</v>
      </c>
      <c r="Z25" s="3"/>
      <c r="AA25" s="2">
        <v>95890</v>
      </c>
      <c r="AB25" s="3"/>
      <c r="AC25" s="2">
        <v>49034.6</v>
      </c>
      <c r="AD25" s="3"/>
      <c r="AE25" s="2">
        <f>ROUND(SUM(G25:AC25),5)</f>
        <v>807373.32</v>
      </c>
    </row>
    <row r="26" spans="1:31" x14ac:dyDescent="0.25">
      <c r="A26" s="1"/>
      <c r="B26" s="1"/>
      <c r="C26" s="1"/>
      <c r="D26" s="1"/>
      <c r="E26" s="1" t="s">
        <v>37</v>
      </c>
      <c r="F26" s="1"/>
      <c r="G26" s="2">
        <v>0</v>
      </c>
      <c r="H26" s="3"/>
      <c r="I26" s="2">
        <v>0</v>
      </c>
      <c r="J26" s="3"/>
      <c r="K26" s="2">
        <v>7750</v>
      </c>
      <c r="L26" s="3"/>
      <c r="M26" s="2">
        <v>1454405</v>
      </c>
      <c r="N26" s="3"/>
      <c r="O26" s="2">
        <v>891001</v>
      </c>
      <c r="P26" s="3"/>
      <c r="Q26" s="2">
        <v>523500</v>
      </c>
      <c r="R26" s="3"/>
      <c r="S26" s="2">
        <v>17250</v>
      </c>
      <c r="T26" s="3"/>
      <c r="U26" s="2">
        <v>166400</v>
      </c>
      <c r="V26" s="3"/>
      <c r="W26" s="2">
        <v>0</v>
      </c>
      <c r="X26" s="3"/>
      <c r="Y26" s="2">
        <v>395065</v>
      </c>
      <c r="Z26" s="3"/>
      <c r="AA26" s="2">
        <v>455250</v>
      </c>
      <c r="AB26" s="3"/>
      <c r="AC26" s="2">
        <v>373000</v>
      </c>
      <c r="AD26" s="3"/>
      <c r="AE26" s="2">
        <f>ROUND(SUM(G26:AC26),5)</f>
        <v>4283621</v>
      </c>
    </row>
    <row r="27" spans="1:31" x14ac:dyDescent="0.25">
      <c r="A27" s="1"/>
      <c r="B27" s="1"/>
      <c r="C27" s="1"/>
      <c r="D27" s="1"/>
      <c r="E27" s="1" t="s">
        <v>38</v>
      </c>
      <c r="F27" s="1"/>
      <c r="G27" s="2">
        <v>0</v>
      </c>
      <c r="H27" s="3"/>
      <c r="I27" s="2">
        <v>2117.64</v>
      </c>
      <c r="J27" s="3"/>
      <c r="K27" s="2">
        <v>6960.81</v>
      </c>
      <c r="L27" s="3"/>
      <c r="M27" s="2">
        <v>18241.48</v>
      </c>
      <c r="N27" s="3"/>
      <c r="O27" s="2">
        <v>118.88</v>
      </c>
      <c r="P27" s="3"/>
      <c r="Q27" s="2">
        <v>374.58</v>
      </c>
      <c r="R27" s="3"/>
      <c r="S27" s="2">
        <v>-5148.66</v>
      </c>
      <c r="T27" s="3"/>
      <c r="U27" s="2">
        <v>18892.2</v>
      </c>
      <c r="V27" s="3"/>
      <c r="W27" s="2">
        <v>30318.53</v>
      </c>
      <c r="X27" s="3"/>
      <c r="Y27" s="2">
        <v>0</v>
      </c>
      <c r="Z27" s="3"/>
      <c r="AA27" s="2">
        <v>0</v>
      </c>
      <c r="AB27" s="3"/>
      <c r="AC27" s="2">
        <v>195</v>
      </c>
      <c r="AD27" s="3"/>
      <c r="AE27" s="2">
        <f>ROUND(SUM(G27:AC27),5)</f>
        <v>72070.460000000006</v>
      </c>
    </row>
    <row r="28" spans="1:31" ht="15.75" thickBot="1" x14ac:dyDescent="0.3">
      <c r="A28" s="1"/>
      <c r="B28" s="1"/>
      <c r="C28" s="1"/>
      <c r="D28" s="1"/>
      <c r="E28" s="1" t="s">
        <v>39</v>
      </c>
      <c r="F28" s="1"/>
      <c r="G28" s="4">
        <v>1981</v>
      </c>
      <c r="H28" s="3"/>
      <c r="I28" s="4">
        <v>7013</v>
      </c>
      <c r="J28" s="3"/>
      <c r="K28" s="4">
        <v>-5086.01</v>
      </c>
      <c r="L28" s="3"/>
      <c r="M28" s="4">
        <v>-868</v>
      </c>
      <c r="N28" s="3"/>
      <c r="O28" s="4">
        <v>6561</v>
      </c>
      <c r="P28" s="3"/>
      <c r="Q28" s="4">
        <v>2176</v>
      </c>
      <c r="R28" s="3"/>
      <c r="S28" s="4">
        <v>-8835</v>
      </c>
      <c r="T28" s="3"/>
      <c r="U28" s="4">
        <v>12783</v>
      </c>
      <c r="V28" s="3"/>
      <c r="W28" s="4">
        <v>212184</v>
      </c>
      <c r="X28" s="3"/>
      <c r="Y28" s="4">
        <v>307174</v>
      </c>
      <c r="Z28" s="3"/>
      <c r="AA28" s="4">
        <v>168482</v>
      </c>
      <c r="AB28" s="3"/>
      <c r="AC28" s="4">
        <v>45099</v>
      </c>
      <c r="AD28" s="3"/>
      <c r="AE28" s="4">
        <f>ROUND(SUM(G28:AC28),5)</f>
        <v>748663.99</v>
      </c>
    </row>
    <row r="29" spans="1:31" x14ac:dyDescent="0.25">
      <c r="A29" s="1"/>
      <c r="B29" s="1"/>
      <c r="C29" s="1"/>
      <c r="D29" s="1" t="s">
        <v>40</v>
      </c>
      <c r="E29" s="1"/>
      <c r="F29" s="1"/>
      <c r="G29" s="2">
        <f>ROUND(SUM(G3:G16)+SUM(G20:G28),5)</f>
        <v>31044.82</v>
      </c>
      <c r="H29" s="3"/>
      <c r="I29" s="2">
        <f>ROUND(SUM(I3:I16)+SUM(I20:I28),5)</f>
        <v>183299.58</v>
      </c>
      <c r="J29" s="3"/>
      <c r="K29" s="2">
        <f>ROUND(SUM(K3:K16)+SUM(K20:K28),5)</f>
        <v>300878.93</v>
      </c>
      <c r="L29" s="3"/>
      <c r="M29" s="2">
        <f>ROUND(SUM(M3:M16)+SUM(M20:M28),5)</f>
        <v>1780961.72</v>
      </c>
      <c r="N29" s="3"/>
      <c r="O29" s="2">
        <f>ROUND(SUM(O3:O16)+SUM(O20:O28),5)</f>
        <v>1623784.74</v>
      </c>
      <c r="P29" s="3"/>
      <c r="Q29" s="2">
        <f>ROUND(SUM(Q3:Q16)+SUM(Q20:Q28),5)</f>
        <v>849826.41</v>
      </c>
      <c r="R29" s="3"/>
      <c r="S29" s="2">
        <f>ROUND(SUM(S3:S16)+SUM(S20:S28),5)</f>
        <v>2004037.76</v>
      </c>
      <c r="T29" s="3"/>
      <c r="U29" s="2">
        <f>ROUND(SUM(U3:U16)+SUM(U20:U28),5)</f>
        <v>544827.57999999996</v>
      </c>
      <c r="V29" s="3"/>
      <c r="W29" s="2">
        <f>ROUND(SUM(W3:W16)+SUM(W20:W28),5)</f>
        <v>498309.34</v>
      </c>
      <c r="X29" s="3"/>
      <c r="Y29" s="2">
        <f>ROUND(SUM(Y3:Y16)+SUM(Y20:Y28),5)</f>
        <v>1185648.1599999999</v>
      </c>
      <c r="Z29" s="3"/>
      <c r="AA29" s="2">
        <f>ROUND(SUM(AA3:AA16)+SUM(AA20:AA28),5)</f>
        <v>1253283.45</v>
      </c>
      <c r="AB29" s="3"/>
      <c r="AC29" s="2">
        <f>ROUND(SUM(AC3:AC16)+SUM(AC20:AC28),5)</f>
        <v>523519.47</v>
      </c>
      <c r="AD29" s="3"/>
      <c r="AE29" s="2">
        <f>ROUND(SUM(G29:AC29),5)</f>
        <v>10779421.960000001</v>
      </c>
    </row>
    <row r="30" spans="1:31" x14ac:dyDescent="0.25">
      <c r="A30" s="1"/>
      <c r="B30" s="1"/>
      <c r="C30" s="1"/>
      <c r="D30" s="1" t="s">
        <v>41</v>
      </c>
      <c r="E30" s="1"/>
      <c r="F30" s="1"/>
      <c r="G30" s="2"/>
      <c r="H30" s="3"/>
      <c r="I30" s="2"/>
      <c r="J30" s="3"/>
      <c r="K30" s="2"/>
      <c r="L30" s="3"/>
      <c r="M30" s="2"/>
      <c r="N30" s="3"/>
      <c r="O30" s="2"/>
      <c r="P30" s="3"/>
      <c r="Q30" s="2"/>
      <c r="R30" s="3"/>
      <c r="S30" s="2"/>
      <c r="T30" s="3"/>
      <c r="U30" s="2"/>
      <c r="V30" s="3"/>
      <c r="W30" s="2"/>
      <c r="X30" s="3"/>
      <c r="Y30" s="2"/>
      <c r="Z30" s="3"/>
      <c r="AA30" s="2"/>
      <c r="AB30" s="3"/>
      <c r="AC30" s="2"/>
      <c r="AD30" s="3"/>
      <c r="AE30" s="2"/>
    </row>
    <row r="31" spans="1:31" x14ac:dyDescent="0.25">
      <c r="A31" s="1"/>
      <c r="B31" s="1"/>
      <c r="C31" s="1"/>
      <c r="D31" s="1"/>
      <c r="E31" s="1" t="s">
        <v>42</v>
      </c>
      <c r="F31" s="1"/>
      <c r="G31" s="2">
        <v>-1589.47</v>
      </c>
      <c r="H31" s="3"/>
      <c r="I31" s="2">
        <v>-34237.42</v>
      </c>
      <c r="J31" s="3"/>
      <c r="K31" s="2">
        <v>1007.57</v>
      </c>
      <c r="L31" s="3"/>
      <c r="M31" s="2">
        <v>18623.349999999999</v>
      </c>
      <c r="N31" s="3"/>
      <c r="O31" s="2">
        <v>24996.84</v>
      </c>
      <c r="P31" s="3"/>
      <c r="Q31" s="2">
        <v>16383.56</v>
      </c>
      <c r="R31" s="3"/>
      <c r="S31" s="2">
        <v>43546.48</v>
      </c>
      <c r="T31" s="3"/>
      <c r="U31" s="2">
        <v>-42442.7</v>
      </c>
      <c r="V31" s="3"/>
      <c r="W31" s="2">
        <v>3063.64</v>
      </c>
      <c r="X31" s="3"/>
      <c r="Y31" s="2">
        <v>-52858.14</v>
      </c>
      <c r="Z31" s="3"/>
      <c r="AA31" s="2">
        <v>-54788.4</v>
      </c>
      <c r="AB31" s="3"/>
      <c r="AC31" s="2">
        <v>-34673.5</v>
      </c>
      <c r="AD31" s="3"/>
      <c r="AE31" s="2">
        <f>ROUND(SUM(G31:AC31),5)</f>
        <v>-112968.19</v>
      </c>
    </row>
    <row r="32" spans="1:31" x14ac:dyDescent="0.25">
      <c r="A32" s="1"/>
      <c r="B32" s="1"/>
      <c r="C32" s="1"/>
      <c r="D32" s="1"/>
      <c r="E32" s="1" t="s">
        <v>43</v>
      </c>
      <c r="F32" s="1"/>
      <c r="G32" s="2">
        <v>30000</v>
      </c>
      <c r="H32" s="3"/>
      <c r="I32" s="2">
        <v>116845</v>
      </c>
      <c r="J32" s="3"/>
      <c r="K32" s="2">
        <v>0</v>
      </c>
      <c r="L32" s="3"/>
      <c r="M32" s="2">
        <v>740934.3</v>
      </c>
      <c r="N32" s="3"/>
      <c r="O32" s="2">
        <v>1062018</v>
      </c>
      <c r="P32" s="3"/>
      <c r="Q32" s="2">
        <v>501386.47</v>
      </c>
      <c r="R32" s="3"/>
      <c r="S32" s="2">
        <v>492715.55</v>
      </c>
      <c r="T32" s="3"/>
      <c r="U32" s="2">
        <v>0</v>
      </c>
      <c r="V32" s="3"/>
      <c r="W32" s="2">
        <v>148338</v>
      </c>
      <c r="X32" s="3"/>
      <c r="Y32" s="2">
        <v>-10</v>
      </c>
      <c r="Z32" s="3"/>
      <c r="AA32" s="2">
        <v>0</v>
      </c>
      <c r="AB32" s="3"/>
      <c r="AC32" s="2">
        <v>3982</v>
      </c>
      <c r="AD32" s="3"/>
      <c r="AE32" s="2">
        <f>ROUND(SUM(G32:AC32),5)</f>
        <v>3096209.32</v>
      </c>
    </row>
    <row r="33" spans="1:31" x14ac:dyDescent="0.25">
      <c r="A33" s="1"/>
      <c r="B33" s="1"/>
      <c r="C33" s="1"/>
      <c r="D33" s="1"/>
      <c r="E33" s="1" t="s">
        <v>44</v>
      </c>
      <c r="F33" s="1"/>
      <c r="G33" s="2">
        <v>54.3</v>
      </c>
      <c r="H33" s="3"/>
      <c r="I33" s="2">
        <v>0</v>
      </c>
      <c r="J33" s="3"/>
      <c r="K33" s="2">
        <v>27.15</v>
      </c>
      <c r="L33" s="3"/>
      <c r="M33" s="2">
        <v>248.58</v>
      </c>
      <c r="N33" s="3"/>
      <c r="O33" s="2">
        <v>0</v>
      </c>
      <c r="P33" s="3"/>
      <c r="Q33" s="2">
        <v>0</v>
      </c>
      <c r="R33" s="3"/>
      <c r="S33" s="2">
        <v>0</v>
      </c>
      <c r="T33" s="3"/>
      <c r="U33" s="2">
        <v>3963.3</v>
      </c>
      <c r="V33" s="3"/>
      <c r="W33" s="2">
        <v>0</v>
      </c>
      <c r="X33" s="3"/>
      <c r="Y33" s="2">
        <v>0</v>
      </c>
      <c r="Z33" s="3"/>
      <c r="AA33" s="2">
        <v>0</v>
      </c>
      <c r="AB33" s="3"/>
      <c r="AC33" s="2">
        <v>20</v>
      </c>
      <c r="AD33" s="3"/>
      <c r="AE33" s="2">
        <f>ROUND(SUM(G33:AC33),5)</f>
        <v>4313.33</v>
      </c>
    </row>
    <row r="34" spans="1:31" x14ac:dyDescent="0.25">
      <c r="A34" s="1"/>
      <c r="B34" s="1"/>
      <c r="C34" s="1"/>
      <c r="D34" s="1"/>
      <c r="E34" s="1" t="s">
        <v>45</v>
      </c>
      <c r="F34" s="1"/>
      <c r="G34" s="2">
        <v>8730.2000000000007</v>
      </c>
      <c r="H34" s="3"/>
      <c r="I34" s="2">
        <v>200</v>
      </c>
      <c r="J34" s="3"/>
      <c r="K34" s="2">
        <v>401227.86</v>
      </c>
      <c r="L34" s="3"/>
      <c r="M34" s="2">
        <v>241759.99</v>
      </c>
      <c r="N34" s="3"/>
      <c r="O34" s="2">
        <v>156885.57</v>
      </c>
      <c r="P34" s="3"/>
      <c r="Q34" s="2">
        <v>488116.37</v>
      </c>
      <c r="R34" s="3"/>
      <c r="S34" s="2">
        <v>187376.07</v>
      </c>
      <c r="T34" s="3"/>
      <c r="U34" s="2">
        <v>102380.59</v>
      </c>
      <c r="V34" s="3"/>
      <c r="W34" s="2">
        <v>0</v>
      </c>
      <c r="X34" s="3"/>
      <c r="Y34" s="2">
        <v>65820.45</v>
      </c>
      <c r="Z34" s="3"/>
      <c r="AA34" s="2">
        <v>672463.31</v>
      </c>
      <c r="AB34" s="3"/>
      <c r="AC34" s="2">
        <v>273106.90000000002</v>
      </c>
      <c r="AD34" s="3"/>
      <c r="AE34" s="2">
        <f>ROUND(SUM(G34:AC34),5)</f>
        <v>2598067.31</v>
      </c>
    </row>
    <row r="35" spans="1:31" x14ac:dyDescent="0.25">
      <c r="A35" s="1"/>
      <c r="B35" s="1"/>
      <c r="C35" s="1"/>
      <c r="D35" s="1"/>
      <c r="E35" s="1" t="s">
        <v>46</v>
      </c>
      <c r="F35" s="1"/>
      <c r="G35" s="2">
        <v>0</v>
      </c>
      <c r="H35" s="3"/>
      <c r="I35" s="2">
        <v>0</v>
      </c>
      <c r="J35" s="3"/>
      <c r="K35" s="2">
        <v>0</v>
      </c>
      <c r="L35" s="3"/>
      <c r="M35" s="2">
        <v>0</v>
      </c>
      <c r="N35" s="3"/>
      <c r="O35" s="2">
        <v>0</v>
      </c>
      <c r="P35" s="3"/>
      <c r="Q35" s="2">
        <v>882.05</v>
      </c>
      <c r="R35" s="3"/>
      <c r="S35" s="2">
        <v>0</v>
      </c>
      <c r="T35" s="3"/>
      <c r="U35" s="2">
        <v>13690</v>
      </c>
      <c r="V35" s="3"/>
      <c r="W35" s="2">
        <v>0</v>
      </c>
      <c r="X35" s="3"/>
      <c r="Y35" s="2">
        <v>45280.29</v>
      </c>
      <c r="Z35" s="3"/>
      <c r="AA35" s="2">
        <v>0</v>
      </c>
      <c r="AB35" s="3"/>
      <c r="AC35" s="2">
        <v>0</v>
      </c>
      <c r="AD35" s="3"/>
      <c r="AE35" s="2">
        <f>ROUND(SUM(G35:AC35),5)</f>
        <v>59852.34</v>
      </c>
    </row>
    <row r="36" spans="1:31" x14ac:dyDescent="0.25">
      <c r="A36" s="1"/>
      <c r="B36" s="1"/>
      <c r="C36" s="1"/>
      <c r="D36" s="1"/>
      <c r="E36" s="1" t="s">
        <v>47</v>
      </c>
      <c r="F36" s="1"/>
      <c r="G36" s="2">
        <v>0</v>
      </c>
      <c r="H36" s="3"/>
      <c r="I36" s="2">
        <v>0</v>
      </c>
      <c r="J36" s="3"/>
      <c r="K36" s="2">
        <v>1379.56</v>
      </c>
      <c r="L36" s="3"/>
      <c r="M36" s="2">
        <v>24703.79</v>
      </c>
      <c r="N36" s="3"/>
      <c r="O36" s="2">
        <v>21010.7</v>
      </c>
      <c r="P36" s="3"/>
      <c r="Q36" s="2">
        <v>67434.179999999993</v>
      </c>
      <c r="R36" s="3"/>
      <c r="S36" s="2">
        <v>196198.18</v>
      </c>
      <c r="T36" s="3"/>
      <c r="U36" s="2">
        <v>162718.88</v>
      </c>
      <c r="V36" s="3"/>
      <c r="W36" s="2">
        <v>49798.77</v>
      </c>
      <c r="X36" s="3"/>
      <c r="Y36" s="2">
        <v>76359.98</v>
      </c>
      <c r="Z36" s="3"/>
      <c r="AA36" s="2">
        <v>0</v>
      </c>
      <c r="AB36" s="3"/>
      <c r="AC36" s="2">
        <v>0</v>
      </c>
      <c r="AD36" s="3"/>
      <c r="AE36" s="2">
        <f>ROUND(SUM(G36:AC36),5)</f>
        <v>599604.04</v>
      </c>
    </row>
    <row r="37" spans="1:31" x14ac:dyDescent="0.25">
      <c r="A37" s="1"/>
      <c r="B37" s="1"/>
      <c r="C37" s="1"/>
      <c r="D37" s="1"/>
      <c r="E37" s="1" t="s">
        <v>48</v>
      </c>
      <c r="F37" s="1"/>
      <c r="G37" s="2">
        <v>18426.419999999998</v>
      </c>
      <c r="H37" s="3"/>
      <c r="I37" s="2">
        <v>935</v>
      </c>
      <c r="J37" s="3"/>
      <c r="K37" s="2">
        <v>8218.2199999999993</v>
      </c>
      <c r="L37" s="3"/>
      <c r="M37" s="2">
        <v>98474.25</v>
      </c>
      <c r="N37" s="3"/>
      <c r="O37" s="2">
        <v>71491.429999999993</v>
      </c>
      <c r="P37" s="3"/>
      <c r="Q37" s="2">
        <v>44818.14</v>
      </c>
      <c r="R37" s="3"/>
      <c r="S37" s="2">
        <v>75383.539999999994</v>
      </c>
      <c r="T37" s="3"/>
      <c r="U37" s="2">
        <v>77547.78</v>
      </c>
      <c r="V37" s="3"/>
      <c r="W37" s="2">
        <v>48549.08</v>
      </c>
      <c r="X37" s="3"/>
      <c r="Y37" s="2">
        <v>98052.2</v>
      </c>
      <c r="Z37" s="3"/>
      <c r="AA37" s="2">
        <v>56893.45</v>
      </c>
      <c r="AB37" s="3"/>
      <c r="AC37" s="2">
        <v>170675.73</v>
      </c>
      <c r="AD37" s="3"/>
      <c r="AE37" s="2">
        <f>ROUND(SUM(G37:AC37),5)</f>
        <v>769465.24</v>
      </c>
    </row>
    <row r="38" spans="1:31" x14ac:dyDescent="0.25">
      <c r="A38" s="1"/>
      <c r="B38" s="1"/>
      <c r="C38" s="1"/>
      <c r="D38" s="1"/>
      <c r="E38" s="1" t="s">
        <v>41</v>
      </c>
      <c r="F38" s="1"/>
      <c r="G38" s="2">
        <v>555.46</v>
      </c>
      <c r="H38" s="3"/>
      <c r="I38" s="2">
        <v>-1400.05</v>
      </c>
      <c r="J38" s="3"/>
      <c r="K38" s="2">
        <v>-435.26</v>
      </c>
      <c r="L38" s="3"/>
      <c r="M38" s="2">
        <v>-17794.759999999998</v>
      </c>
      <c r="N38" s="3"/>
      <c r="O38" s="2">
        <v>-11635.58</v>
      </c>
      <c r="P38" s="3"/>
      <c r="Q38" s="2">
        <v>-6024.29</v>
      </c>
      <c r="R38" s="3"/>
      <c r="S38" s="2">
        <v>2707.87</v>
      </c>
      <c r="T38" s="3"/>
      <c r="U38" s="2">
        <v>14987.04</v>
      </c>
      <c r="V38" s="3"/>
      <c r="W38" s="2">
        <v>16986.77</v>
      </c>
      <c r="X38" s="3"/>
      <c r="Y38" s="2">
        <v>-4533.8599999999997</v>
      </c>
      <c r="Z38" s="3"/>
      <c r="AA38" s="2">
        <v>3787.35</v>
      </c>
      <c r="AB38" s="3"/>
      <c r="AC38" s="2">
        <v>16584.259999999998</v>
      </c>
      <c r="AD38" s="3"/>
      <c r="AE38" s="2">
        <f>ROUND(SUM(G38:AC38),5)</f>
        <v>13784.95</v>
      </c>
    </row>
    <row r="39" spans="1:31" x14ac:dyDescent="0.25">
      <c r="A39" s="1"/>
      <c r="B39" s="1"/>
      <c r="C39" s="1"/>
      <c r="D39" s="1"/>
      <c r="E39" s="1" t="s">
        <v>49</v>
      </c>
      <c r="F39" s="1"/>
      <c r="G39" s="2">
        <v>10940.29</v>
      </c>
      <c r="H39" s="3"/>
      <c r="I39" s="2">
        <v>17543.72</v>
      </c>
      <c r="J39" s="3"/>
      <c r="K39" s="2">
        <v>25251.94</v>
      </c>
      <c r="L39" s="3"/>
      <c r="M39" s="2">
        <v>0</v>
      </c>
      <c r="N39" s="3"/>
      <c r="O39" s="2">
        <v>0</v>
      </c>
      <c r="P39" s="3"/>
      <c r="Q39" s="2">
        <v>19048.14</v>
      </c>
      <c r="R39" s="3"/>
      <c r="S39" s="2">
        <v>0</v>
      </c>
      <c r="T39" s="3"/>
      <c r="U39" s="2">
        <v>0</v>
      </c>
      <c r="V39" s="3"/>
      <c r="W39" s="2">
        <v>1000</v>
      </c>
      <c r="X39" s="3"/>
      <c r="Y39" s="2">
        <v>0</v>
      </c>
      <c r="Z39" s="3"/>
      <c r="AA39" s="2">
        <v>0</v>
      </c>
      <c r="AB39" s="3"/>
      <c r="AC39" s="2">
        <v>500</v>
      </c>
      <c r="AD39" s="3"/>
      <c r="AE39" s="2">
        <f>ROUND(SUM(G39:AC39),5)</f>
        <v>74284.09</v>
      </c>
    </row>
    <row r="40" spans="1:31" ht="15.75" thickBot="1" x14ac:dyDescent="0.3">
      <c r="A40" s="1"/>
      <c r="B40" s="1"/>
      <c r="C40" s="1"/>
      <c r="D40" s="1"/>
      <c r="E40" s="1" t="s">
        <v>50</v>
      </c>
      <c r="F40" s="1"/>
      <c r="G40" s="5">
        <v>0</v>
      </c>
      <c r="H40" s="3"/>
      <c r="I40" s="5">
        <v>0</v>
      </c>
      <c r="J40" s="3"/>
      <c r="K40" s="5">
        <v>0</v>
      </c>
      <c r="L40" s="3"/>
      <c r="M40" s="5">
        <v>-71304.3</v>
      </c>
      <c r="N40" s="3"/>
      <c r="O40" s="5">
        <v>180635.9</v>
      </c>
      <c r="P40" s="3"/>
      <c r="Q40" s="5">
        <v>0</v>
      </c>
      <c r="R40" s="3"/>
      <c r="S40" s="5">
        <v>0</v>
      </c>
      <c r="T40" s="3"/>
      <c r="U40" s="5">
        <v>0</v>
      </c>
      <c r="V40" s="3"/>
      <c r="W40" s="5">
        <v>0</v>
      </c>
      <c r="X40" s="3"/>
      <c r="Y40" s="5">
        <v>0</v>
      </c>
      <c r="Z40" s="3"/>
      <c r="AA40" s="5">
        <v>58158.78</v>
      </c>
      <c r="AB40" s="3"/>
      <c r="AC40" s="5">
        <v>323971.32</v>
      </c>
      <c r="AD40" s="3"/>
      <c r="AE40" s="5">
        <f>ROUND(SUM(G40:AC40),5)</f>
        <v>491461.7</v>
      </c>
    </row>
    <row r="41" spans="1:31" ht="15.75" thickBot="1" x14ac:dyDescent="0.3">
      <c r="A41" s="1"/>
      <c r="B41" s="1"/>
      <c r="C41" s="1"/>
      <c r="D41" s="1" t="s">
        <v>51</v>
      </c>
      <c r="E41" s="1"/>
      <c r="F41" s="1"/>
      <c r="G41" s="6">
        <f>ROUND(SUM(G30:G40),5)</f>
        <v>67117.2</v>
      </c>
      <c r="H41" s="3"/>
      <c r="I41" s="6">
        <f>ROUND(SUM(I30:I40),5)</f>
        <v>99886.25</v>
      </c>
      <c r="J41" s="3"/>
      <c r="K41" s="6">
        <f>ROUND(SUM(K30:K40),5)</f>
        <v>436677.04</v>
      </c>
      <c r="L41" s="3"/>
      <c r="M41" s="6">
        <f>ROUND(SUM(M30:M40),5)</f>
        <v>1035645.2</v>
      </c>
      <c r="N41" s="3"/>
      <c r="O41" s="6">
        <f>ROUND(SUM(O30:O40),5)</f>
        <v>1505402.86</v>
      </c>
      <c r="P41" s="3"/>
      <c r="Q41" s="6">
        <f>ROUND(SUM(Q30:Q40),5)</f>
        <v>1132044.6200000001</v>
      </c>
      <c r="R41" s="3"/>
      <c r="S41" s="6">
        <f>ROUND(SUM(S30:S40),5)</f>
        <v>997927.69</v>
      </c>
      <c r="T41" s="3"/>
      <c r="U41" s="6">
        <f>ROUND(SUM(U30:U40),5)</f>
        <v>332844.89</v>
      </c>
      <c r="V41" s="3"/>
      <c r="W41" s="6">
        <f>ROUND(SUM(W30:W40),5)</f>
        <v>267736.26</v>
      </c>
      <c r="X41" s="3"/>
      <c r="Y41" s="6">
        <f>ROUND(SUM(Y30:Y40),5)</f>
        <v>228110.92</v>
      </c>
      <c r="Z41" s="3"/>
      <c r="AA41" s="6">
        <f>ROUND(SUM(AA30:AA40),5)</f>
        <v>736514.49</v>
      </c>
      <c r="AB41" s="3"/>
      <c r="AC41" s="6">
        <f>ROUND(SUM(AC30:AC40),5)</f>
        <v>754166.71</v>
      </c>
      <c r="AD41" s="3"/>
      <c r="AE41" s="6">
        <f>ROUND(SUM(G41:AC41),5)</f>
        <v>7594074.1299999999</v>
      </c>
    </row>
    <row r="42" spans="1:31" x14ac:dyDescent="0.25">
      <c r="A42" s="1"/>
      <c r="B42" s="1"/>
      <c r="C42" s="1" t="s">
        <v>52</v>
      </c>
      <c r="D42" s="1"/>
      <c r="E42" s="1"/>
      <c r="F42" s="1"/>
      <c r="G42" s="2">
        <f>ROUND(G29-G41,5)</f>
        <v>-36072.379999999997</v>
      </c>
      <c r="H42" s="3"/>
      <c r="I42" s="2">
        <f>ROUND(I29-I41,5)</f>
        <v>83413.33</v>
      </c>
      <c r="J42" s="3"/>
      <c r="K42" s="2">
        <f>ROUND(K29-K41,5)</f>
        <v>-135798.10999999999</v>
      </c>
      <c r="L42" s="3"/>
      <c r="M42" s="2">
        <f>ROUND(M29-M41,5)</f>
        <v>745316.52</v>
      </c>
      <c r="N42" s="3"/>
      <c r="O42" s="2">
        <f>ROUND(O29-O41,5)</f>
        <v>118381.88</v>
      </c>
      <c r="P42" s="3"/>
      <c r="Q42" s="2">
        <f>ROUND(Q29-Q41,5)</f>
        <v>-282218.21000000002</v>
      </c>
      <c r="R42" s="3"/>
      <c r="S42" s="2">
        <f>ROUND(S29-S41,5)</f>
        <v>1006110.07</v>
      </c>
      <c r="T42" s="3"/>
      <c r="U42" s="2">
        <f>ROUND(U29-U41,5)</f>
        <v>211982.69</v>
      </c>
      <c r="V42" s="3"/>
      <c r="W42" s="2">
        <f>ROUND(W29-W41,5)</f>
        <v>230573.08</v>
      </c>
      <c r="X42" s="3"/>
      <c r="Y42" s="2">
        <f>ROUND(Y29-Y41,5)</f>
        <v>957537.24</v>
      </c>
      <c r="Z42" s="3"/>
      <c r="AA42" s="2">
        <f>ROUND(AA29-AA41,5)</f>
        <v>516768.96</v>
      </c>
      <c r="AB42" s="3"/>
      <c r="AC42" s="2">
        <f>ROUND(AC29-AC41,5)</f>
        <v>-230647.24</v>
      </c>
      <c r="AD42" s="3"/>
      <c r="AE42" s="2">
        <f>ROUND(SUM(G42:AC42),5)</f>
        <v>3185347.83</v>
      </c>
    </row>
    <row r="43" spans="1:31" x14ac:dyDescent="0.25">
      <c r="A43" s="1"/>
      <c r="B43" s="1"/>
      <c r="C43" s="1"/>
      <c r="D43" s="1" t="s">
        <v>53</v>
      </c>
      <c r="E43" s="1"/>
      <c r="F43" s="1"/>
      <c r="G43" s="2"/>
      <c r="H43" s="3"/>
      <c r="I43" s="2"/>
      <c r="J43" s="3"/>
      <c r="K43" s="2"/>
      <c r="L43" s="3"/>
      <c r="M43" s="2"/>
      <c r="N43" s="3"/>
      <c r="O43" s="2"/>
      <c r="P43" s="3"/>
      <c r="Q43" s="2"/>
      <c r="R43" s="3"/>
      <c r="S43" s="2"/>
      <c r="T43" s="3"/>
      <c r="U43" s="2"/>
      <c r="V43" s="3"/>
      <c r="W43" s="2"/>
      <c r="X43" s="3"/>
      <c r="Y43" s="2"/>
      <c r="Z43" s="3"/>
      <c r="AA43" s="2"/>
      <c r="AB43" s="3"/>
      <c r="AC43" s="2"/>
      <c r="AD43" s="3"/>
      <c r="AE43" s="2"/>
    </row>
    <row r="44" spans="1:31" x14ac:dyDescent="0.25">
      <c r="A44" s="1"/>
      <c r="B44" s="1"/>
      <c r="C44" s="1"/>
      <c r="D44" s="1"/>
      <c r="E44" s="1" t="s">
        <v>54</v>
      </c>
      <c r="F44" s="1"/>
      <c r="G44" s="2">
        <v>2044.77</v>
      </c>
      <c r="H44" s="3"/>
      <c r="I44" s="2">
        <v>2650</v>
      </c>
      <c r="J44" s="3"/>
      <c r="K44" s="2">
        <v>-6159.44</v>
      </c>
      <c r="L44" s="3"/>
      <c r="M44" s="2">
        <v>2784</v>
      </c>
      <c r="N44" s="3"/>
      <c r="O44" s="2">
        <v>1084</v>
      </c>
      <c r="P44" s="3"/>
      <c r="Q44" s="2">
        <v>4785.3900000000003</v>
      </c>
      <c r="R44" s="3"/>
      <c r="S44" s="2">
        <v>6764.73</v>
      </c>
      <c r="T44" s="3"/>
      <c r="U44" s="2">
        <v>6281.1</v>
      </c>
      <c r="V44" s="3"/>
      <c r="W44" s="2">
        <v>109.89</v>
      </c>
      <c r="X44" s="3"/>
      <c r="Y44" s="2">
        <v>4770.05</v>
      </c>
      <c r="Z44" s="3"/>
      <c r="AA44" s="2">
        <v>3635.74</v>
      </c>
      <c r="AB44" s="3"/>
      <c r="AC44" s="2">
        <v>-6061.44</v>
      </c>
      <c r="AD44" s="3"/>
      <c r="AE44" s="2">
        <f>ROUND(SUM(G44:AC44),5)</f>
        <v>22688.79</v>
      </c>
    </row>
    <row r="45" spans="1:31" x14ac:dyDescent="0.25">
      <c r="A45" s="1"/>
      <c r="B45" s="1"/>
      <c r="C45" s="1"/>
      <c r="D45" s="1"/>
      <c r="E45" s="1" t="s">
        <v>55</v>
      </c>
      <c r="F45" s="1"/>
      <c r="G45" s="2">
        <v>817.25</v>
      </c>
      <c r="H45" s="3"/>
      <c r="I45" s="2">
        <v>817.25</v>
      </c>
      <c r="J45" s="3"/>
      <c r="K45" s="2">
        <v>817.25</v>
      </c>
      <c r="L45" s="3"/>
      <c r="M45" s="2">
        <v>817.25</v>
      </c>
      <c r="N45" s="3"/>
      <c r="O45" s="2">
        <v>817.25</v>
      </c>
      <c r="P45" s="3"/>
      <c r="Q45" s="2">
        <v>817.25</v>
      </c>
      <c r="R45" s="3"/>
      <c r="S45" s="2">
        <v>817.25</v>
      </c>
      <c r="T45" s="3"/>
      <c r="U45" s="2">
        <v>8817.25</v>
      </c>
      <c r="V45" s="3"/>
      <c r="W45" s="2">
        <v>817.25</v>
      </c>
      <c r="X45" s="3"/>
      <c r="Y45" s="2">
        <v>817.25</v>
      </c>
      <c r="Z45" s="3"/>
      <c r="AA45" s="2">
        <v>817.25</v>
      </c>
      <c r="AB45" s="3"/>
      <c r="AC45" s="2">
        <v>817.25</v>
      </c>
      <c r="AD45" s="3"/>
      <c r="AE45" s="2">
        <f>ROUND(SUM(G45:AC45),5)</f>
        <v>17807</v>
      </c>
    </row>
    <row r="46" spans="1:31" x14ac:dyDescent="0.25">
      <c r="A46" s="1"/>
      <c r="B46" s="1"/>
      <c r="C46" s="1"/>
      <c r="D46" s="1"/>
      <c r="E46" s="1" t="s">
        <v>56</v>
      </c>
      <c r="F46" s="1"/>
      <c r="G46" s="2">
        <v>-87.47</v>
      </c>
      <c r="H46" s="3"/>
      <c r="I46" s="2">
        <v>-93.33</v>
      </c>
      <c r="J46" s="3"/>
      <c r="K46" s="2">
        <v>76.05</v>
      </c>
      <c r="L46" s="3"/>
      <c r="M46" s="2">
        <v>92.06</v>
      </c>
      <c r="N46" s="3"/>
      <c r="O46" s="2">
        <v>231.57</v>
      </c>
      <c r="P46" s="3"/>
      <c r="Q46" s="2">
        <v>315.60000000000002</v>
      </c>
      <c r="R46" s="3"/>
      <c r="S46" s="2">
        <v>191.89</v>
      </c>
      <c r="T46" s="3"/>
      <c r="U46" s="2">
        <v>212.69</v>
      </c>
      <c r="V46" s="3"/>
      <c r="W46" s="2">
        <v>70.58</v>
      </c>
      <c r="X46" s="3"/>
      <c r="Y46" s="2">
        <v>130.07</v>
      </c>
      <c r="Z46" s="3"/>
      <c r="AA46" s="2">
        <v>82.23</v>
      </c>
      <c r="AB46" s="3"/>
      <c r="AC46" s="2">
        <v>170.87</v>
      </c>
      <c r="AD46" s="3"/>
      <c r="AE46" s="2">
        <f>ROUND(SUM(G46:AC46),5)</f>
        <v>1392.81</v>
      </c>
    </row>
    <row r="47" spans="1:31" x14ac:dyDescent="0.25">
      <c r="A47" s="1"/>
      <c r="B47" s="1"/>
      <c r="C47" s="1"/>
      <c r="D47" s="1"/>
      <c r="E47" s="1" t="s">
        <v>57</v>
      </c>
      <c r="F47" s="1"/>
      <c r="G47" s="2">
        <v>0</v>
      </c>
      <c r="H47" s="3"/>
      <c r="I47" s="2">
        <v>9790.9</v>
      </c>
      <c r="J47" s="3"/>
      <c r="K47" s="2">
        <v>7125</v>
      </c>
      <c r="L47" s="3"/>
      <c r="M47" s="2">
        <v>31410.59</v>
      </c>
      <c r="N47" s="3"/>
      <c r="O47" s="2">
        <v>17677.5</v>
      </c>
      <c r="P47" s="3"/>
      <c r="Q47" s="2">
        <v>25176</v>
      </c>
      <c r="R47" s="3"/>
      <c r="S47" s="2">
        <v>46581</v>
      </c>
      <c r="T47" s="3"/>
      <c r="U47" s="2">
        <v>4675</v>
      </c>
      <c r="V47" s="3"/>
      <c r="W47" s="2">
        <v>193550</v>
      </c>
      <c r="X47" s="3"/>
      <c r="Y47" s="2">
        <v>26000</v>
      </c>
      <c r="Z47" s="3"/>
      <c r="AA47" s="2">
        <v>44222.26</v>
      </c>
      <c r="AB47" s="3"/>
      <c r="AC47" s="2">
        <v>65139.95</v>
      </c>
      <c r="AD47" s="3"/>
      <c r="AE47" s="2">
        <f>ROUND(SUM(G47:AC47),5)</f>
        <v>471348.2</v>
      </c>
    </row>
    <row r="48" spans="1:31" x14ac:dyDescent="0.25">
      <c r="A48" s="1"/>
      <c r="B48" s="1"/>
      <c r="C48" s="1"/>
      <c r="D48" s="1"/>
      <c r="E48" s="1" t="s">
        <v>58</v>
      </c>
      <c r="F48" s="1"/>
      <c r="G48" s="2">
        <v>833.22</v>
      </c>
      <c r="H48" s="3"/>
      <c r="I48" s="2">
        <v>0</v>
      </c>
      <c r="J48" s="3"/>
      <c r="K48" s="2">
        <v>2300</v>
      </c>
      <c r="L48" s="3"/>
      <c r="M48" s="2">
        <v>0</v>
      </c>
      <c r="N48" s="3"/>
      <c r="O48" s="2">
        <v>0</v>
      </c>
      <c r="P48" s="3"/>
      <c r="Q48" s="2">
        <v>0</v>
      </c>
      <c r="R48" s="3"/>
      <c r="S48" s="2">
        <v>0</v>
      </c>
      <c r="T48" s="3"/>
      <c r="U48" s="2">
        <v>0</v>
      </c>
      <c r="V48" s="3"/>
      <c r="W48" s="2">
        <v>0</v>
      </c>
      <c r="X48" s="3"/>
      <c r="Y48" s="2">
        <v>250</v>
      </c>
      <c r="Z48" s="3"/>
      <c r="AA48" s="2">
        <v>0</v>
      </c>
      <c r="AB48" s="3"/>
      <c r="AC48" s="2">
        <v>0</v>
      </c>
      <c r="AD48" s="3"/>
      <c r="AE48" s="2">
        <f>ROUND(SUM(G48:AC48),5)</f>
        <v>3383.22</v>
      </c>
    </row>
    <row r="49" spans="1:31" x14ac:dyDescent="0.25">
      <c r="A49" s="1"/>
      <c r="B49" s="1"/>
      <c r="C49" s="1"/>
      <c r="D49" s="1"/>
      <c r="E49" s="1" t="s">
        <v>59</v>
      </c>
      <c r="F49" s="1"/>
      <c r="G49" s="2">
        <v>1194.21</v>
      </c>
      <c r="H49" s="3"/>
      <c r="I49" s="2">
        <v>1719.48</v>
      </c>
      <c r="J49" s="3"/>
      <c r="K49" s="2">
        <v>1475.5</v>
      </c>
      <c r="L49" s="3"/>
      <c r="M49" s="2">
        <v>3315.65</v>
      </c>
      <c r="N49" s="3"/>
      <c r="O49" s="2">
        <v>-605.49</v>
      </c>
      <c r="P49" s="3"/>
      <c r="Q49" s="2">
        <v>3638.63</v>
      </c>
      <c r="R49" s="3"/>
      <c r="S49" s="2">
        <v>6007.09</v>
      </c>
      <c r="T49" s="3"/>
      <c r="U49" s="2">
        <v>6406.78</v>
      </c>
      <c r="V49" s="3"/>
      <c r="W49" s="2">
        <v>5816.05</v>
      </c>
      <c r="X49" s="3"/>
      <c r="Y49" s="2">
        <v>4441.75</v>
      </c>
      <c r="Z49" s="3"/>
      <c r="AA49" s="2">
        <v>3788.5</v>
      </c>
      <c r="AB49" s="3"/>
      <c r="AC49" s="2">
        <v>1020.04</v>
      </c>
      <c r="AD49" s="3"/>
      <c r="AE49" s="2">
        <f>ROUND(SUM(G49:AC49),5)</f>
        <v>38218.19</v>
      </c>
    </row>
    <row r="50" spans="1:31" x14ac:dyDescent="0.25">
      <c r="A50" s="1"/>
      <c r="B50" s="1"/>
      <c r="C50" s="1"/>
      <c r="D50" s="1"/>
      <c r="E50" s="1" t="s">
        <v>60</v>
      </c>
      <c r="F50" s="1"/>
      <c r="G50" s="2">
        <v>0</v>
      </c>
      <c r="H50" s="3"/>
      <c r="I50" s="2">
        <v>0</v>
      </c>
      <c r="J50" s="3"/>
      <c r="K50" s="2">
        <v>0</v>
      </c>
      <c r="L50" s="3"/>
      <c r="M50" s="2">
        <v>0</v>
      </c>
      <c r="N50" s="3"/>
      <c r="O50" s="2">
        <v>320.68</v>
      </c>
      <c r="P50" s="3"/>
      <c r="Q50" s="2">
        <v>0</v>
      </c>
      <c r="R50" s="3"/>
      <c r="S50" s="2">
        <v>0</v>
      </c>
      <c r="T50" s="3"/>
      <c r="U50" s="2">
        <v>0</v>
      </c>
      <c r="V50" s="3"/>
      <c r="W50" s="2">
        <v>0</v>
      </c>
      <c r="X50" s="3"/>
      <c r="Y50" s="2">
        <v>0</v>
      </c>
      <c r="Z50" s="3"/>
      <c r="AA50" s="2">
        <v>22.82</v>
      </c>
      <c r="AB50" s="3"/>
      <c r="AC50" s="2">
        <v>0</v>
      </c>
      <c r="AD50" s="3"/>
      <c r="AE50" s="2">
        <f>ROUND(SUM(G50:AC50),5)</f>
        <v>343.5</v>
      </c>
    </row>
    <row r="51" spans="1:31" x14ac:dyDescent="0.25">
      <c r="A51" s="1"/>
      <c r="B51" s="1"/>
      <c r="C51" s="1"/>
      <c r="D51" s="1"/>
      <c r="E51" s="1" t="s">
        <v>61</v>
      </c>
      <c r="F51" s="1"/>
      <c r="G51" s="2">
        <v>0</v>
      </c>
      <c r="H51" s="3"/>
      <c r="I51" s="2">
        <v>0</v>
      </c>
      <c r="J51" s="3"/>
      <c r="K51" s="2">
        <v>0</v>
      </c>
      <c r="L51" s="3"/>
      <c r="M51" s="2">
        <v>0</v>
      </c>
      <c r="N51" s="3"/>
      <c r="O51" s="2">
        <v>2500</v>
      </c>
      <c r="P51" s="3"/>
      <c r="Q51" s="2">
        <v>250</v>
      </c>
      <c r="R51" s="3"/>
      <c r="S51" s="2">
        <v>20000</v>
      </c>
      <c r="T51" s="3"/>
      <c r="U51" s="2">
        <v>0</v>
      </c>
      <c r="V51" s="3"/>
      <c r="W51" s="2">
        <v>0</v>
      </c>
      <c r="X51" s="3"/>
      <c r="Y51" s="2">
        <v>0</v>
      </c>
      <c r="Z51" s="3"/>
      <c r="AA51" s="2">
        <v>0</v>
      </c>
      <c r="AB51" s="3"/>
      <c r="AC51" s="2">
        <v>0</v>
      </c>
      <c r="AD51" s="3"/>
      <c r="AE51" s="2">
        <f>ROUND(SUM(G51:AC51),5)</f>
        <v>22750</v>
      </c>
    </row>
    <row r="52" spans="1:31" x14ac:dyDescent="0.25">
      <c r="A52" s="1"/>
      <c r="B52" s="1"/>
      <c r="C52" s="1"/>
      <c r="D52" s="1"/>
      <c r="E52" s="1" t="s">
        <v>62</v>
      </c>
      <c r="F52" s="1"/>
      <c r="G52" s="2">
        <v>0</v>
      </c>
      <c r="H52" s="3"/>
      <c r="I52" s="2">
        <v>0</v>
      </c>
      <c r="J52" s="3"/>
      <c r="K52" s="2">
        <v>0</v>
      </c>
      <c r="L52" s="3"/>
      <c r="M52" s="2">
        <v>0</v>
      </c>
      <c r="N52" s="3"/>
      <c r="O52" s="2">
        <v>0</v>
      </c>
      <c r="P52" s="3"/>
      <c r="Q52" s="2">
        <v>0</v>
      </c>
      <c r="R52" s="3"/>
      <c r="S52" s="2">
        <v>0</v>
      </c>
      <c r="T52" s="3"/>
      <c r="U52" s="2">
        <v>0</v>
      </c>
      <c r="V52" s="3"/>
      <c r="W52" s="2">
        <v>0</v>
      </c>
      <c r="X52" s="3"/>
      <c r="Y52" s="2">
        <v>0</v>
      </c>
      <c r="Z52" s="3"/>
      <c r="AA52" s="2">
        <v>0</v>
      </c>
      <c r="AB52" s="3"/>
      <c r="AC52" s="2">
        <v>-4800</v>
      </c>
      <c r="AD52" s="3"/>
      <c r="AE52" s="2">
        <f>ROUND(SUM(G52:AC52),5)</f>
        <v>-4800</v>
      </c>
    </row>
    <row r="53" spans="1:31" x14ac:dyDescent="0.25">
      <c r="A53" s="1"/>
      <c r="B53" s="1"/>
      <c r="C53" s="1"/>
      <c r="D53" s="1"/>
      <c r="E53" s="1" t="s">
        <v>63</v>
      </c>
      <c r="F53" s="1"/>
      <c r="G53" s="2"/>
      <c r="H53" s="3"/>
      <c r="I53" s="2"/>
      <c r="J53" s="3"/>
      <c r="K53" s="2"/>
      <c r="L53" s="3"/>
      <c r="M53" s="2"/>
      <c r="N53" s="3"/>
      <c r="O53" s="2"/>
      <c r="P53" s="3"/>
      <c r="Q53" s="2"/>
      <c r="R53" s="3"/>
      <c r="S53" s="2"/>
      <c r="T53" s="3"/>
      <c r="U53" s="2"/>
      <c r="V53" s="3"/>
      <c r="W53" s="2"/>
      <c r="X53" s="3"/>
      <c r="Y53" s="2"/>
      <c r="Z53" s="3"/>
      <c r="AA53" s="2"/>
      <c r="AB53" s="3"/>
      <c r="AC53" s="2"/>
      <c r="AD53" s="3"/>
      <c r="AE53" s="2"/>
    </row>
    <row r="54" spans="1:31" x14ac:dyDescent="0.25">
      <c r="A54" s="1"/>
      <c r="B54" s="1"/>
      <c r="C54" s="1"/>
      <c r="D54" s="1"/>
      <c r="E54" s="1"/>
      <c r="F54" s="1" t="s">
        <v>64</v>
      </c>
      <c r="G54" s="2">
        <v>0</v>
      </c>
      <c r="H54" s="3"/>
      <c r="I54" s="2">
        <v>-42</v>
      </c>
      <c r="J54" s="3"/>
      <c r="K54" s="2">
        <v>-47.4</v>
      </c>
      <c r="L54" s="3"/>
      <c r="M54" s="2">
        <v>-41</v>
      </c>
      <c r="N54" s="3"/>
      <c r="O54" s="2">
        <v>-59.69</v>
      </c>
      <c r="P54" s="3"/>
      <c r="Q54" s="2">
        <v>-57.41</v>
      </c>
      <c r="R54" s="3"/>
      <c r="S54" s="2">
        <v>-60.32</v>
      </c>
      <c r="T54" s="3"/>
      <c r="U54" s="2">
        <v>-80.7</v>
      </c>
      <c r="V54" s="3"/>
      <c r="W54" s="2">
        <v>-52.69</v>
      </c>
      <c r="X54" s="3"/>
      <c r="Y54" s="2">
        <v>-46.56</v>
      </c>
      <c r="Z54" s="3"/>
      <c r="AA54" s="2">
        <v>-58.72</v>
      </c>
      <c r="AB54" s="3"/>
      <c r="AC54" s="2">
        <v>-46.8</v>
      </c>
      <c r="AD54" s="3"/>
      <c r="AE54" s="2">
        <f>ROUND(SUM(G54:AC54),5)</f>
        <v>-593.29</v>
      </c>
    </row>
    <row r="55" spans="1:31" x14ac:dyDescent="0.25">
      <c r="A55" s="1"/>
      <c r="B55" s="1"/>
      <c r="C55" s="1"/>
      <c r="D55" s="1"/>
      <c r="E55" s="1"/>
      <c r="F55" s="1" t="s">
        <v>65</v>
      </c>
      <c r="G55" s="2">
        <v>0</v>
      </c>
      <c r="H55" s="3"/>
      <c r="I55" s="2">
        <v>-303.68</v>
      </c>
      <c r="J55" s="3"/>
      <c r="K55" s="2">
        <v>-324.58999999999997</v>
      </c>
      <c r="L55" s="3"/>
      <c r="M55" s="2">
        <v>-326.27999999999997</v>
      </c>
      <c r="N55" s="3"/>
      <c r="O55" s="2">
        <v>-424.76</v>
      </c>
      <c r="P55" s="3"/>
      <c r="Q55" s="2">
        <v>-337.78</v>
      </c>
      <c r="R55" s="3"/>
      <c r="S55" s="2">
        <v>-352.81</v>
      </c>
      <c r="T55" s="3"/>
      <c r="U55" s="2">
        <v>-464.35</v>
      </c>
      <c r="V55" s="3"/>
      <c r="W55" s="2">
        <v>-327.67</v>
      </c>
      <c r="X55" s="3"/>
      <c r="Y55" s="2">
        <v>-319.13</v>
      </c>
      <c r="Z55" s="3"/>
      <c r="AA55" s="2">
        <v>-447.73</v>
      </c>
      <c r="AB55" s="3"/>
      <c r="AC55" s="2">
        <v>-495.07</v>
      </c>
      <c r="AD55" s="3"/>
      <c r="AE55" s="2">
        <f>ROUND(SUM(G55:AC55),5)</f>
        <v>-4123.8500000000004</v>
      </c>
    </row>
    <row r="56" spans="1:31" x14ac:dyDescent="0.25">
      <c r="A56" s="1"/>
      <c r="B56" s="1"/>
      <c r="C56" s="1"/>
      <c r="D56" s="1"/>
      <c r="E56" s="1"/>
      <c r="F56" s="1" t="s">
        <v>66</v>
      </c>
      <c r="G56" s="2">
        <v>0</v>
      </c>
      <c r="H56" s="3"/>
      <c r="I56" s="2">
        <v>-716</v>
      </c>
      <c r="J56" s="3"/>
      <c r="K56" s="2">
        <v>-895</v>
      </c>
      <c r="L56" s="3"/>
      <c r="M56" s="2">
        <v>-716</v>
      </c>
      <c r="N56" s="3"/>
      <c r="O56" s="2">
        <v>-895</v>
      </c>
      <c r="P56" s="3"/>
      <c r="Q56" s="2">
        <v>-716</v>
      </c>
      <c r="R56" s="3"/>
      <c r="S56" s="2">
        <v>-1519.79</v>
      </c>
      <c r="T56" s="3"/>
      <c r="U56" s="2">
        <v>-2269.09</v>
      </c>
      <c r="V56" s="3"/>
      <c r="W56" s="2">
        <v>-1787.72</v>
      </c>
      <c r="X56" s="3"/>
      <c r="Y56" s="2">
        <v>-1809.68</v>
      </c>
      <c r="Z56" s="3"/>
      <c r="AA56" s="2">
        <v>-2239.39</v>
      </c>
      <c r="AB56" s="3"/>
      <c r="AC56" s="2">
        <v>-3738.29</v>
      </c>
      <c r="AD56" s="3"/>
      <c r="AE56" s="2">
        <f>ROUND(SUM(G56:AC56),5)</f>
        <v>-17301.96</v>
      </c>
    </row>
    <row r="57" spans="1:31" x14ac:dyDescent="0.25">
      <c r="A57" s="1"/>
      <c r="B57" s="1"/>
      <c r="C57" s="1"/>
      <c r="D57" s="1"/>
      <c r="E57" s="1"/>
      <c r="F57" s="1" t="s">
        <v>67</v>
      </c>
      <c r="G57" s="2">
        <v>0</v>
      </c>
      <c r="H57" s="3"/>
      <c r="I57" s="2">
        <v>124</v>
      </c>
      <c r="J57" s="3"/>
      <c r="K57" s="2">
        <v>0</v>
      </c>
      <c r="L57" s="3"/>
      <c r="M57" s="2">
        <v>0</v>
      </c>
      <c r="N57" s="3"/>
      <c r="O57" s="2">
        <v>0</v>
      </c>
      <c r="P57" s="3"/>
      <c r="Q57" s="2">
        <v>0</v>
      </c>
      <c r="R57" s="3"/>
      <c r="S57" s="2">
        <v>0</v>
      </c>
      <c r="T57" s="3"/>
      <c r="U57" s="2">
        <v>0</v>
      </c>
      <c r="V57" s="3"/>
      <c r="W57" s="2">
        <v>0</v>
      </c>
      <c r="X57" s="3"/>
      <c r="Y57" s="2">
        <v>0</v>
      </c>
      <c r="Z57" s="3"/>
      <c r="AA57" s="2">
        <v>0</v>
      </c>
      <c r="AB57" s="3"/>
      <c r="AC57" s="2">
        <v>125.5</v>
      </c>
      <c r="AD57" s="3"/>
      <c r="AE57" s="2">
        <f>ROUND(SUM(G57:AC57),5)</f>
        <v>249.5</v>
      </c>
    </row>
    <row r="58" spans="1:31" ht="15.75" thickBot="1" x14ac:dyDescent="0.3">
      <c r="A58" s="1"/>
      <c r="B58" s="1"/>
      <c r="C58" s="1"/>
      <c r="D58" s="1"/>
      <c r="E58" s="1"/>
      <c r="F58" s="1" t="s">
        <v>68</v>
      </c>
      <c r="G58" s="4">
        <v>10252.44</v>
      </c>
      <c r="H58" s="3"/>
      <c r="I58" s="4">
        <v>30085.63</v>
      </c>
      <c r="J58" s="3"/>
      <c r="K58" s="4">
        <v>29164.27</v>
      </c>
      <c r="L58" s="3"/>
      <c r="M58" s="4">
        <v>40087.65</v>
      </c>
      <c r="N58" s="3"/>
      <c r="O58" s="4">
        <v>32792.839999999997</v>
      </c>
      <c r="P58" s="3"/>
      <c r="Q58" s="4">
        <v>30748.34</v>
      </c>
      <c r="R58" s="3"/>
      <c r="S58" s="4">
        <v>24778.63</v>
      </c>
      <c r="T58" s="3"/>
      <c r="U58" s="4">
        <v>31810.92</v>
      </c>
      <c r="V58" s="3"/>
      <c r="W58" s="4">
        <v>16292.86</v>
      </c>
      <c r="X58" s="3"/>
      <c r="Y58" s="4">
        <v>18767.25</v>
      </c>
      <c r="Z58" s="3"/>
      <c r="AA58" s="4">
        <v>6416.33</v>
      </c>
      <c r="AB58" s="3"/>
      <c r="AC58" s="4">
        <v>9609.16</v>
      </c>
      <c r="AD58" s="3"/>
      <c r="AE58" s="4">
        <f>ROUND(SUM(G58:AC58),5)</f>
        <v>280806.32</v>
      </c>
    </row>
    <row r="59" spans="1:31" x14ac:dyDescent="0.25">
      <c r="A59" s="1"/>
      <c r="B59" s="1"/>
      <c r="C59" s="1"/>
      <c r="D59" s="1"/>
      <c r="E59" s="1" t="s">
        <v>69</v>
      </c>
      <c r="F59" s="1"/>
      <c r="G59" s="2">
        <f>ROUND(SUM(G53:G58),5)</f>
        <v>10252.44</v>
      </c>
      <c r="H59" s="3"/>
      <c r="I59" s="2">
        <f>ROUND(SUM(I53:I58),5)</f>
        <v>29147.95</v>
      </c>
      <c r="J59" s="3"/>
      <c r="K59" s="2">
        <f>ROUND(SUM(K53:K58),5)</f>
        <v>27897.279999999999</v>
      </c>
      <c r="L59" s="3"/>
      <c r="M59" s="2">
        <f>ROUND(SUM(M53:M58),5)</f>
        <v>39004.370000000003</v>
      </c>
      <c r="N59" s="3"/>
      <c r="O59" s="2">
        <f>ROUND(SUM(O53:O58),5)</f>
        <v>31413.39</v>
      </c>
      <c r="P59" s="3"/>
      <c r="Q59" s="2">
        <f>ROUND(SUM(Q53:Q58),5)</f>
        <v>29637.15</v>
      </c>
      <c r="R59" s="3"/>
      <c r="S59" s="2">
        <f>ROUND(SUM(S53:S58),5)</f>
        <v>22845.71</v>
      </c>
      <c r="T59" s="3"/>
      <c r="U59" s="2">
        <f>ROUND(SUM(U53:U58),5)</f>
        <v>28996.78</v>
      </c>
      <c r="V59" s="3"/>
      <c r="W59" s="2">
        <f>ROUND(SUM(W53:W58),5)</f>
        <v>14124.78</v>
      </c>
      <c r="X59" s="3"/>
      <c r="Y59" s="2">
        <f>ROUND(SUM(Y53:Y58),5)</f>
        <v>16591.88</v>
      </c>
      <c r="Z59" s="3"/>
      <c r="AA59" s="2">
        <f>ROUND(SUM(AA53:AA58),5)</f>
        <v>3670.49</v>
      </c>
      <c r="AB59" s="3"/>
      <c r="AC59" s="2">
        <f>ROUND(SUM(AC53:AC58),5)</f>
        <v>5454.5</v>
      </c>
      <c r="AD59" s="3"/>
      <c r="AE59" s="2">
        <f>ROUND(SUM(G59:AC59),5)</f>
        <v>259036.72</v>
      </c>
    </row>
    <row r="60" spans="1:31" x14ac:dyDescent="0.25">
      <c r="A60" s="1"/>
      <c r="B60" s="1"/>
      <c r="C60" s="1"/>
      <c r="D60" s="1"/>
      <c r="E60" s="1" t="s">
        <v>70</v>
      </c>
      <c r="F60" s="1"/>
      <c r="G60" s="2">
        <v>20.149999999999999</v>
      </c>
      <c r="H60" s="3"/>
      <c r="I60" s="2">
        <v>731.86</v>
      </c>
      <c r="J60" s="3"/>
      <c r="K60" s="2">
        <v>721.16</v>
      </c>
      <c r="L60" s="3"/>
      <c r="M60" s="2">
        <v>0</v>
      </c>
      <c r="N60" s="3"/>
      <c r="O60" s="2">
        <v>0</v>
      </c>
      <c r="P60" s="3"/>
      <c r="Q60" s="2">
        <v>0</v>
      </c>
      <c r="R60" s="3"/>
      <c r="S60" s="2">
        <v>0</v>
      </c>
      <c r="T60" s="3"/>
      <c r="U60" s="2">
        <v>0</v>
      </c>
      <c r="V60" s="3"/>
      <c r="W60" s="2">
        <v>0</v>
      </c>
      <c r="X60" s="3"/>
      <c r="Y60" s="2">
        <v>0</v>
      </c>
      <c r="Z60" s="3"/>
      <c r="AA60" s="2">
        <v>0</v>
      </c>
      <c r="AB60" s="3"/>
      <c r="AC60" s="2">
        <v>0</v>
      </c>
      <c r="AD60" s="3"/>
      <c r="AE60" s="2">
        <f>ROUND(SUM(G60:AC60),5)</f>
        <v>1473.17</v>
      </c>
    </row>
    <row r="61" spans="1:31" x14ac:dyDescent="0.25">
      <c r="A61" s="1"/>
      <c r="B61" s="1"/>
      <c r="C61" s="1"/>
      <c r="D61" s="1"/>
      <c r="E61" s="1" t="s">
        <v>71</v>
      </c>
      <c r="F61" s="1"/>
      <c r="G61" s="2">
        <v>750</v>
      </c>
      <c r="H61" s="3"/>
      <c r="I61" s="2">
        <v>110</v>
      </c>
      <c r="J61" s="3"/>
      <c r="K61" s="2">
        <v>0</v>
      </c>
      <c r="L61" s="3"/>
      <c r="M61" s="2">
        <v>0</v>
      </c>
      <c r="N61" s="3"/>
      <c r="O61" s="2">
        <v>0</v>
      </c>
      <c r="P61" s="3"/>
      <c r="Q61" s="2">
        <v>0</v>
      </c>
      <c r="R61" s="3"/>
      <c r="S61" s="2">
        <v>0</v>
      </c>
      <c r="T61" s="3"/>
      <c r="U61" s="2">
        <v>0</v>
      </c>
      <c r="V61" s="3"/>
      <c r="W61" s="2">
        <v>0</v>
      </c>
      <c r="X61" s="3"/>
      <c r="Y61" s="2">
        <v>167.5</v>
      </c>
      <c r="Z61" s="3"/>
      <c r="AA61" s="2">
        <v>0</v>
      </c>
      <c r="AB61" s="3"/>
      <c r="AC61" s="2">
        <v>-450</v>
      </c>
      <c r="AD61" s="3"/>
      <c r="AE61" s="2">
        <f>ROUND(SUM(G61:AC61),5)</f>
        <v>577.5</v>
      </c>
    </row>
    <row r="62" spans="1:31" x14ac:dyDescent="0.25">
      <c r="A62" s="1"/>
      <c r="B62" s="1"/>
      <c r="C62" s="1"/>
      <c r="D62" s="1"/>
      <c r="E62" s="1" t="s">
        <v>72</v>
      </c>
      <c r="F62" s="1"/>
      <c r="G62" s="2">
        <v>0</v>
      </c>
      <c r="H62" s="3"/>
      <c r="I62" s="2">
        <v>3000</v>
      </c>
      <c r="J62" s="3"/>
      <c r="K62" s="2">
        <v>0</v>
      </c>
      <c r="L62" s="3"/>
      <c r="M62" s="2">
        <v>0</v>
      </c>
      <c r="N62" s="3"/>
      <c r="O62" s="2">
        <v>0</v>
      </c>
      <c r="P62" s="3"/>
      <c r="Q62" s="2">
        <v>0</v>
      </c>
      <c r="R62" s="3"/>
      <c r="S62" s="2">
        <v>0</v>
      </c>
      <c r="T62" s="3"/>
      <c r="U62" s="2">
        <v>0</v>
      </c>
      <c r="V62" s="3"/>
      <c r="W62" s="2">
        <v>0</v>
      </c>
      <c r="X62" s="3"/>
      <c r="Y62" s="2">
        <v>0</v>
      </c>
      <c r="Z62" s="3"/>
      <c r="AA62" s="2">
        <v>0</v>
      </c>
      <c r="AB62" s="3"/>
      <c r="AC62" s="2">
        <v>0</v>
      </c>
      <c r="AD62" s="3"/>
      <c r="AE62" s="2">
        <f>ROUND(SUM(G62:AC62),5)</f>
        <v>3000</v>
      </c>
    </row>
    <row r="63" spans="1:31" x14ac:dyDescent="0.25">
      <c r="A63" s="1"/>
      <c r="B63" s="1"/>
      <c r="C63" s="1"/>
      <c r="D63" s="1"/>
      <c r="E63" s="1" t="s">
        <v>73</v>
      </c>
      <c r="F63" s="1"/>
      <c r="G63" s="2">
        <v>0</v>
      </c>
      <c r="H63" s="3"/>
      <c r="I63" s="2">
        <v>0</v>
      </c>
      <c r="J63" s="3"/>
      <c r="K63" s="2">
        <v>0</v>
      </c>
      <c r="L63" s="3"/>
      <c r="M63" s="2">
        <v>0</v>
      </c>
      <c r="N63" s="3"/>
      <c r="O63" s="2">
        <v>0</v>
      </c>
      <c r="P63" s="3"/>
      <c r="Q63" s="2">
        <v>0</v>
      </c>
      <c r="R63" s="3"/>
      <c r="S63" s="2">
        <v>0</v>
      </c>
      <c r="T63" s="3"/>
      <c r="U63" s="2">
        <v>0</v>
      </c>
      <c r="V63" s="3"/>
      <c r="W63" s="2">
        <v>0</v>
      </c>
      <c r="X63" s="3"/>
      <c r="Y63" s="2">
        <v>0</v>
      </c>
      <c r="Z63" s="3"/>
      <c r="AA63" s="2">
        <v>0</v>
      </c>
      <c r="AB63" s="3"/>
      <c r="AC63" s="2">
        <v>0</v>
      </c>
      <c r="AD63" s="3"/>
      <c r="AE63" s="2">
        <f>ROUND(SUM(G63:AC63),5)</f>
        <v>0</v>
      </c>
    </row>
    <row r="64" spans="1:31" x14ac:dyDescent="0.25">
      <c r="A64" s="1"/>
      <c r="B64" s="1"/>
      <c r="C64" s="1"/>
      <c r="D64" s="1"/>
      <c r="E64" s="1" t="s">
        <v>74</v>
      </c>
      <c r="F64" s="1"/>
      <c r="G64" s="2">
        <v>0</v>
      </c>
      <c r="H64" s="3"/>
      <c r="I64" s="2">
        <v>364.07</v>
      </c>
      <c r="J64" s="3"/>
      <c r="K64" s="2">
        <v>237.89</v>
      </c>
      <c r="L64" s="3"/>
      <c r="M64" s="2">
        <v>199.6</v>
      </c>
      <c r="N64" s="3"/>
      <c r="O64" s="2">
        <v>-42.11</v>
      </c>
      <c r="P64" s="3"/>
      <c r="Q64" s="2">
        <v>-672.47</v>
      </c>
      <c r="R64" s="3"/>
      <c r="S64" s="2">
        <v>2069.9699999999998</v>
      </c>
      <c r="T64" s="3"/>
      <c r="U64" s="2">
        <v>-8.98</v>
      </c>
      <c r="V64" s="3"/>
      <c r="W64" s="2">
        <v>-1.42</v>
      </c>
      <c r="X64" s="3"/>
      <c r="Y64" s="2">
        <v>164.13</v>
      </c>
      <c r="Z64" s="3"/>
      <c r="AA64" s="2">
        <v>-508.47</v>
      </c>
      <c r="AB64" s="3"/>
      <c r="AC64" s="2">
        <v>-635.24</v>
      </c>
      <c r="AD64" s="3"/>
      <c r="AE64" s="2">
        <f>ROUND(SUM(G64:AC64),5)</f>
        <v>1166.97</v>
      </c>
    </row>
    <row r="65" spans="1:31" x14ac:dyDescent="0.25">
      <c r="A65" s="1"/>
      <c r="B65" s="1"/>
      <c r="C65" s="1"/>
      <c r="D65" s="1"/>
      <c r="E65" s="1" t="s">
        <v>75</v>
      </c>
      <c r="F65" s="1"/>
      <c r="G65" s="2">
        <v>0</v>
      </c>
      <c r="H65" s="3"/>
      <c r="I65" s="2">
        <v>0</v>
      </c>
      <c r="J65" s="3"/>
      <c r="K65" s="2">
        <v>-121.83</v>
      </c>
      <c r="L65" s="3"/>
      <c r="M65" s="2">
        <v>0</v>
      </c>
      <c r="N65" s="3"/>
      <c r="O65" s="2">
        <v>0</v>
      </c>
      <c r="P65" s="3"/>
      <c r="Q65" s="2">
        <v>0</v>
      </c>
      <c r="R65" s="3"/>
      <c r="S65" s="2">
        <v>0</v>
      </c>
      <c r="T65" s="3"/>
      <c r="U65" s="2">
        <v>0</v>
      </c>
      <c r="V65" s="3"/>
      <c r="W65" s="2">
        <v>0</v>
      </c>
      <c r="X65" s="3"/>
      <c r="Y65" s="2">
        <v>0</v>
      </c>
      <c r="Z65" s="3"/>
      <c r="AA65" s="2">
        <v>0</v>
      </c>
      <c r="AB65" s="3"/>
      <c r="AC65" s="2">
        <v>0</v>
      </c>
      <c r="AD65" s="3"/>
      <c r="AE65" s="2">
        <f>ROUND(SUM(G65:AC65),5)</f>
        <v>-121.83</v>
      </c>
    </row>
    <row r="66" spans="1:31" x14ac:dyDescent="0.25">
      <c r="A66" s="1"/>
      <c r="B66" s="1"/>
      <c r="C66" s="1"/>
      <c r="D66" s="1"/>
      <c r="E66" s="1" t="s">
        <v>76</v>
      </c>
      <c r="F66" s="1"/>
      <c r="G66" s="2">
        <v>153.13</v>
      </c>
      <c r="H66" s="3"/>
      <c r="I66" s="2">
        <v>384.51</v>
      </c>
      <c r="J66" s="3"/>
      <c r="K66" s="2">
        <v>234.73</v>
      </c>
      <c r="L66" s="3"/>
      <c r="M66" s="2">
        <v>1156.5999999999999</v>
      </c>
      <c r="N66" s="3"/>
      <c r="O66" s="2">
        <v>510.21</v>
      </c>
      <c r="P66" s="3"/>
      <c r="Q66" s="2">
        <v>776.74</v>
      </c>
      <c r="R66" s="3"/>
      <c r="S66" s="2">
        <v>808.87</v>
      </c>
      <c r="T66" s="3"/>
      <c r="U66" s="2">
        <v>1201.3699999999999</v>
      </c>
      <c r="V66" s="3"/>
      <c r="W66" s="2">
        <v>1522.97</v>
      </c>
      <c r="X66" s="3"/>
      <c r="Y66" s="2">
        <v>718.95</v>
      </c>
      <c r="Z66" s="3"/>
      <c r="AA66" s="2">
        <v>324.73</v>
      </c>
      <c r="AB66" s="3"/>
      <c r="AC66" s="2">
        <v>1100.78</v>
      </c>
      <c r="AD66" s="3"/>
      <c r="AE66" s="2">
        <f>ROUND(SUM(G66:AC66),5)</f>
        <v>8893.59</v>
      </c>
    </row>
    <row r="67" spans="1:31" x14ac:dyDescent="0.25">
      <c r="A67" s="1"/>
      <c r="B67" s="1"/>
      <c r="C67" s="1"/>
      <c r="D67" s="1"/>
      <c r="E67" s="1" t="s">
        <v>77</v>
      </c>
      <c r="F67" s="1"/>
      <c r="G67" s="2">
        <v>0</v>
      </c>
      <c r="H67" s="3"/>
      <c r="I67" s="2">
        <v>0</v>
      </c>
      <c r="J67" s="3"/>
      <c r="K67" s="2">
        <v>16680</v>
      </c>
      <c r="L67" s="3"/>
      <c r="M67" s="2">
        <v>0</v>
      </c>
      <c r="N67" s="3"/>
      <c r="O67" s="2">
        <v>2050</v>
      </c>
      <c r="P67" s="3"/>
      <c r="Q67" s="2">
        <v>0</v>
      </c>
      <c r="R67" s="3"/>
      <c r="S67" s="2">
        <v>29088.5</v>
      </c>
      <c r="T67" s="3"/>
      <c r="U67" s="2">
        <v>973.36</v>
      </c>
      <c r="V67" s="3"/>
      <c r="W67" s="2">
        <v>0</v>
      </c>
      <c r="X67" s="3"/>
      <c r="Y67" s="2">
        <v>15480</v>
      </c>
      <c r="Z67" s="3"/>
      <c r="AA67" s="2">
        <v>0</v>
      </c>
      <c r="AB67" s="3"/>
      <c r="AC67" s="2">
        <v>28737.5</v>
      </c>
      <c r="AD67" s="3"/>
      <c r="AE67" s="2">
        <f>ROUND(SUM(G67:AC67),5)</f>
        <v>93009.36</v>
      </c>
    </row>
    <row r="68" spans="1:31" x14ac:dyDescent="0.25">
      <c r="A68" s="1"/>
      <c r="B68" s="1"/>
      <c r="C68" s="1"/>
      <c r="D68" s="1"/>
      <c r="E68" s="1" t="s">
        <v>78</v>
      </c>
      <c r="F68" s="1"/>
      <c r="G68" s="2">
        <v>849.97</v>
      </c>
      <c r="H68" s="3"/>
      <c r="I68" s="2">
        <v>-849.97</v>
      </c>
      <c r="J68" s="3"/>
      <c r="K68" s="2">
        <v>505.35</v>
      </c>
      <c r="L68" s="3"/>
      <c r="M68" s="2">
        <v>-505.33</v>
      </c>
      <c r="N68" s="3"/>
      <c r="O68" s="2">
        <v>0</v>
      </c>
      <c r="P68" s="3"/>
      <c r="Q68" s="2">
        <v>-45.73</v>
      </c>
      <c r="R68" s="3"/>
      <c r="S68" s="2">
        <v>45.73</v>
      </c>
      <c r="T68" s="3"/>
      <c r="U68" s="2">
        <v>-125.59</v>
      </c>
      <c r="V68" s="3"/>
      <c r="W68" s="2">
        <v>97.2</v>
      </c>
      <c r="X68" s="3"/>
      <c r="Y68" s="2">
        <v>620.97</v>
      </c>
      <c r="Z68" s="3"/>
      <c r="AA68" s="2">
        <v>1113.1500000000001</v>
      </c>
      <c r="AB68" s="3"/>
      <c r="AC68" s="2">
        <v>-1705.87</v>
      </c>
      <c r="AD68" s="3"/>
      <c r="AE68" s="2">
        <f>ROUND(SUM(G68:AC68),5)</f>
        <v>-0.12</v>
      </c>
    </row>
    <row r="69" spans="1:31" x14ac:dyDescent="0.25">
      <c r="A69" s="1"/>
      <c r="B69" s="1"/>
      <c r="C69" s="1"/>
      <c r="D69" s="1"/>
      <c r="E69" s="1" t="s">
        <v>79</v>
      </c>
      <c r="F69" s="1"/>
      <c r="G69" s="2">
        <v>0</v>
      </c>
      <c r="H69" s="3"/>
      <c r="I69" s="2">
        <v>507.06</v>
      </c>
      <c r="J69" s="3"/>
      <c r="K69" s="2">
        <v>362.94</v>
      </c>
      <c r="L69" s="3"/>
      <c r="M69" s="2">
        <v>295.51</v>
      </c>
      <c r="N69" s="3"/>
      <c r="O69" s="2">
        <v>383.94</v>
      </c>
      <c r="P69" s="3"/>
      <c r="Q69" s="2">
        <v>338.96</v>
      </c>
      <c r="R69" s="3"/>
      <c r="S69" s="2">
        <v>333.32</v>
      </c>
      <c r="T69" s="3"/>
      <c r="U69" s="2">
        <v>427.9</v>
      </c>
      <c r="V69" s="3"/>
      <c r="W69" s="2">
        <v>327.07</v>
      </c>
      <c r="X69" s="3"/>
      <c r="Y69" s="2">
        <v>300.82</v>
      </c>
      <c r="Z69" s="3"/>
      <c r="AA69" s="2">
        <v>348.28</v>
      </c>
      <c r="AB69" s="3"/>
      <c r="AC69" s="2">
        <v>402.9</v>
      </c>
      <c r="AD69" s="3"/>
      <c r="AE69" s="2">
        <f>ROUND(SUM(G69:AC69),5)</f>
        <v>4028.7</v>
      </c>
    </row>
    <row r="70" spans="1:31" x14ac:dyDescent="0.25">
      <c r="A70" s="1"/>
      <c r="B70" s="1"/>
      <c r="C70" s="1"/>
      <c r="D70" s="1"/>
      <c r="E70" s="1" t="s">
        <v>80</v>
      </c>
      <c r="F70" s="1"/>
      <c r="G70" s="2"/>
      <c r="H70" s="3"/>
      <c r="I70" s="2"/>
      <c r="J70" s="3"/>
      <c r="K70" s="2"/>
      <c r="L70" s="3"/>
      <c r="M70" s="2"/>
      <c r="N70" s="3"/>
      <c r="O70" s="2"/>
      <c r="P70" s="3"/>
      <c r="Q70" s="2"/>
      <c r="R70" s="3"/>
      <c r="S70" s="2"/>
      <c r="T70" s="3"/>
      <c r="U70" s="2"/>
      <c r="V70" s="3"/>
      <c r="W70" s="2"/>
      <c r="X70" s="3"/>
      <c r="Y70" s="2"/>
      <c r="Z70" s="3"/>
      <c r="AA70" s="2"/>
      <c r="AB70" s="3"/>
      <c r="AC70" s="2"/>
      <c r="AD70" s="3"/>
      <c r="AE70" s="2"/>
    </row>
    <row r="71" spans="1:31" x14ac:dyDescent="0.25">
      <c r="A71" s="1"/>
      <c r="B71" s="1"/>
      <c r="C71" s="1"/>
      <c r="D71" s="1"/>
      <c r="E71" s="1"/>
      <c r="F71" s="1" t="s">
        <v>81</v>
      </c>
      <c r="G71" s="2">
        <v>0</v>
      </c>
      <c r="H71" s="3"/>
      <c r="I71" s="2">
        <v>479.94</v>
      </c>
      <c r="J71" s="3"/>
      <c r="K71" s="2">
        <v>203.5</v>
      </c>
      <c r="L71" s="3"/>
      <c r="M71" s="2">
        <v>65.88</v>
      </c>
      <c r="N71" s="3"/>
      <c r="O71" s="2">
        <v>25.47</v>
      </c>
      <c r="P71" s="3"/>
      <c r="Q71" s="2">
        <v>54.33</v>
      </c>
      <c r="R71" s="3"/>
      <c r="S71" s="2">
        <v>60.75</v>
      </c>
      <c r="T71" s="3"/>
      <c r="U71" s="2">
        <v>72.599999999999994</v>
      </c>
      <c r="V71" s="3"/>
      <c r="W71" s="2">
        <v>35.33</v>
      </c>
      <c r="X71" s="3"/>
      <c r="Y71" s="2">
        <v>19.03</v>
      </c>
      <c r="Z71" s="3"/>
      <c r="AA71" s="2">
        <v>41.23</v>
      </c>
      <c r="AB71" s="3"/>
      <c r="AC71" s="2">
        <v>1644.81</v>
      </c>
      <c r="AD71" s="3"/>
      <c r="AE71" s="2">
        <f>ROUND(SUM(G71:AC71),5)</f>
        <v>2702.87</v>
      </c>
    </row>
    <row r="72" spans="1:31" x14ac:dyDescent="0.25">
      <c r="A72" s="1"/>
      <c r="B72" s="1"/>
      <c r="C72" s="1"/>
      <c r="D72" s="1"/>
      <c r="E72" s="1"/>
      <c r="F72" s="1" t="s">
        <v>82</v>
      </c>
      <c r="G72" s="2">
        <v>0</v>
      </c>
      <c r="H72" s="3"/>
      <c r="I72" s="2">
        <v>2034.96</v>
      </c>
      <c r="J72" s="3"/>
      <c r="K72" s="2">
        <v>3199.85</v>
      </c>
      <c r="L72" s="3"/>
      <c r="M72" s="2">
        <v>926.86</v>
      </c>
      <c r="N72" s="3"/>
      <c r="O72" s="2">
        <v>887.97</v>
      </c>
      <c r="P72" s="3"/>
      <c r="Q72" s="2">
        <v>323.49</v>
      </c>
      <c r="R72" s="3"/>
      <c r="S72" s="2">
        <v>422.37</v>
      </c>
      <c r="T72" s="3"/>
      <c r="U72" s="2">
        <v>520.16</v>
      </c>
      <c r="V72" s="3"/>
      <c r="W72" s="2">
        <v>200.16</v>
      </c>
      <c r="X72" s="3"/>
      <c r="Y72" s="2">
        <v>-8.91</v>
      </c>
      <c r="Z72" s="3"/>
      <c r="AA72" s="2">
        <v>658.45</v>
      </c>
      <c r="AB72" s="3"/>
      <c r="AC72" s="2">
        <v>150.97999999999999</v>
      </c>
      <c r="AD72" s="3"/>
      <c r="AE72" s="2">
        <f>ROUND(SUM(G72:AC72),5)</f>
        <v>9316.34</v>
      </c>
    </row>
    <row r="73" spans="1:31" x14ac:dyDescent="0.25">
      <c r="A73" s="1"/>
      <c r="B73" s="1"/>
      <c r="C73" s="1"/>
      <c r="D73" s="1"/>
      <c r="E73" s="1"/>
      <c r="F73" s="1" t="s">
        <v>83</v>
      </c>
      <c r="G73" s="2">
        <v>0</v>
      </c>
      <c r="H73" s="3"/>
      <c r="I73" s="2">
        <v>88.75</v>
      </c>
      <c r="J73" s="3"/>
      <c r="K73" s="2">
        <v>94.72</v>
      </c>
      <c r="L73" s="3"/>
      <c r="M73" s="2">
        <v>95.41</v>
      </c>
      <c r="N73" s="3"/>
      <c r="O73" s="2">
        <v>124.28</v>
      </c>
      <c r="P73" s="3"/>
      <c r="Q73" s="2">
        <v>-219.69</v>
      </c>
      <c r="R73" s="3"/>
      <c r="S73" s="2">
        <v>0</v>
      </c>
      <c r="T73" s="3"/>
      <c r="U73" s="2">
        <v>0</v>
      </c>
      <c r="V73" s="3"/>
      <c r="W73" s="2">
        <v>0</v>
      </c>
      <c r="X73" s="3"/>
      <c r="Y73" s="2">
        <v>0</v>
      </c>
      <c r="Z73" s="3"/>
      <c r="AA73" s="2">
        <v>0</v>
      </c>
      <c r="AB73" s="3"/>
      <c r="AC73" s="2">
        <v>0</v>
      </c>
      <c r="AD73" s="3"/>
      <c r="AE73" s="2">
        <f>ROUND(SUM(G73:AC73),5)</f>
        <v>183.47</v>
      </c>
    </row>
    <row r="74" spans="1:31" x14ac:dyDescent="0.25">
      <c r="A74" s="1"/>
      <c r="B74" s="1"/>
      <c r="C74" s="1"/>
      <c r="D74" s="1"/>
      <c r="E74" s="1"/>
      <c r="F74" s="1" t="s">
        <v>84</v>
      </c>
      <c r="G74" s="2">
        <v>0</v>
      </c>
      <c r="H74" s="3"/>
      <c r="I74" s="2">
        <v>6172.18</v>
      </c>
      <c r="J74" s="3"/>
      <c r="K74" s="2">
        <v>6587.52</v>
      </c>
      <c r="L74" s="3"/>
      <c r="M74" s="2">
        <v>6635.61</v>
      </c>
      <c r="N74" s="3"/>
      <c r="O74" s="2">
        <v>8643.08</v>
      </c>
      <c r="P74" s="3"/>
      <c r="Q74" s="2">
        <v>6872.74</v>
      </c>
      <c r="R74" s="3"/>
      <c r="S74" s="2">
        <v>7137.55</v>
      </c>
      <c r="T74" s="3"/>
      <c r="U74" s="2">
        <v>9381.07</v>
      </c>
      <c r="V74" s="3"/>
      <c r="W74" s="2">
        <v>6609.06</v>
      </c>
      <c r="X74" s="3"/>
      <c r="Y74" s="2">
        <v>6431.66</v>
      </c>
      <c r="Z74" s="3"/>
      <c r="AA74" s="2">
        <v>9041.25</v>
      </c>
      <c r="AB74" s="3"/>
      <c r="AC74" s="2">
        <v>11490.16</v>
      </c>
      <c r="AD74" s="3"/>
      <c r="AE74" s="2">
        <f>ROUND(SUM(G74:AC74),5)</f>
        <v>85001.88</v>
      </c>
    </row>
    <row r="75" spans="1:31" ht="15.75" thickBot="1" x14ac:dyDescent="0.3">
      <c r="A75" s="1"/>
      <c r="B75" s="1"/>
      <c r="C75" s="1"/>
      <c r="D75" s="1"/>
      <c r="E75" s="1"/>
      <c r="F75" s="1" t="s">
        <v>85</v>
      </c>
      <c r="G75" s="4">
        <v>0</v>
      </c>
      <c r="H75" s="3"/>
      <c r="I75" s="4">
        <v>0</v>
      </c>
      <c r="J75" s="3"/>
      <c r="K75" s="4">
        <v>0</v>
      </c>
      <c r="L75" s="3"/>
      <c r="M75" s="4">
        <v>504.27</v>
      </c>
      <c r="N75" s="3"/>
      <c r="O75" s="4">
        <v>0</v>
      </c>
      <c r="P75" s="3"/>
      <c r="Q75" s="4">
        <v>0</v>
      </c>
      <c r="R75" s="3"/>
      <c r="S75" s="4">
        <v>0</v>
      </c>
      <c r="T75" s="3"/>
      <c r="U75" s="4">
        <v>0</v>
      </c>
      <c r="V75" s="3"/>
      <c r="W75" s="4">
        <v>0</v>
      </c>
      <c r="X75" s="3"/>
      <c r="Y75" s="4">
        <v>0</v>
      </c>
      <c r="Z75" s="3"/>
      <c r="AA75" s="4">
        <v>0</v>
      </c>
      <c r="AB75" s="3"/>
      <c r="AC75" s="4">
        <v>0</v>
      </c>
      <c r="AD75" s="3"/>
      <c r="AE75" s="4">
        <f>ROUND(SUM(G75:AC75),5)</f>
        <v>504.27</v>
      </c>
    </row>
    <row r="76" spans="1:31" x14ac:dyDescent="0.25">
      <c r="A76" s="1"/>
      <c r="B76" s="1"/>
      <c r="C76" s="1"/>
      <c r="D76" s="1"/>
      <c r="E76" s="1" t="s">
        <v>86</v>
      </c>
      <c r="F76" s="1"/>
      <c r="G76" s="2">
        <f>ROUND(SUM(G70:G75),5)</f>
        <v>0</v>
      </c>
      <c r="H76" s="3"/>
      <c r="I76" s="2">
        <f>ROUND(SUM(I70:I75),5)</f>
        <v>8775.83</v>
      </c>
      <c r="J76" s="3"/>
      <c r="K76" s="2">
        <f>ROUND(SUM(K70:K75),5)</f>
        <v>10085.59</v>
      </c>
      <c r="L76" s="3"/>
      <c r="M76" s="2">
        <f>ROUND(SUM(M70:M75),5)</f>
        <v>8228.0300000000007</v>
      </c>
      <c r="N76" s="3"/>
      <c r="O76" s="2">
        <f>ROUND(SUM(O70:O75),5)</f>
        <v>9680.7999999999993</v>
      </c>
      <c r="P76" s="3"/>
      <c r="Q76" s="2">
        <f>ROUND(SUM(Q70:Q75),5)</f>
        <v>7030.87</v>
      </c>
      <c r="R76" s="3"/>
      <c r="S76" s="2">
        <f>ROUND(SUM(S70:S75),5)</f>
        <v>7620.67</v>
      </c>
      <c r="T76" s="3"/>
      <c r="U76" s="2">
        <f>ROUND(SUM(U70:U75),5)</f>
        <v>9973.83</v>
      </c>
      <c r="V76" s="3"/>
      <c r="W76" s="2">
        <f>ROUND(SUM(W70:W75),5)</f>
        <v>6844.55</v>
      </c>
      <c r="X76" s="3"/>
      <c r="Y76" s="2">
        <f>ROUND(SUM(Y70:Y75),5)</f>
        <v>6441.78</v>
      </c>
      <c r="Z76" s="3"/>
      <c r="AA76" s="2">
        <f>ROUND(SUM(AA70:AA75),5)</f>
        <v>9740.93</v>
      </c>
      <c r="AB76" s="3"/>
      <c r="AC76" s="2">
        <f>ROUND(SUM(AC70:AC75),5)</f>
        <v>13285.95</v>
      </c>
      <c r="AD76" s="3"/>
      <c r="AE76" s="2">
        <f>ROUND(SUM(G76:AC76),5)</f>
        <v>97708.83</v>
      </c>
    </row>
    <row r="77" spans="1:31" x14ac:dyDescent="0.25">
      <c r="A77" s="1"/>
      <c r="B77" s="1"/>
      <c r="C77" s="1"/>
      <c r="D77" s="1"/>
      <c r="E77" s="1" t="s">
        <v>87</v>
      </c>
      <c r="F77" s="1"/>
      <c r="G77" s="2">
        <v>0</v>
      </c>
      <c r="H77" s="3"/>
      <c r="I77" s="2">
        <v>0</v>
      </c>
      <c r="J77" s="3"/>
      <c r="K77" s="2">
        <v>0</v>
      </c>
      <c r="L77" s="3"/>
      <c r="M77" s="2">
        <v>0</v>
      </c>
      <c r="N77" s="3"/>
      <c r="O77" s="2">
        <v>0</v>
      </c>
      <c r="P77" s="3"/>
      <c r="Q77" s="2">
        <v>0</v>
      </c>
      <c r="R77" s="3"/>
      <c r="S77" s="2">
        <v>175</v>
      </c>
      <c r="T77" s="3"/>
      <c r="U77" s="2">
        <v>0</v>
      </c>
      <c r="V77" s="3"/>
      <c r="W77" s="2">
        <v>1712.67</v>
      </c>
      <c r="X77" s="3"/>
      <c r="Y77" s="2">
        <v>0</v>
      </c>
      <c r="Z77" s="3"/>
      <c r="AA77" s="2">
        <v>283.39999999999998</v>
      </c>
      <c r="AB77" s="3"/>
      <c r="AC77" s="2">
        <v>0</v>
      </c>
      <c r="AD77" s="3"/>
      <c r="AE77" s="2">
        <f>ROUND(SUM(G77:AC77),5)</f>
        <v>2171.0700000000002</v>
      </c>
    </row>
    <row r="78" spans="1:31" x14ac:dyDescent="0.25">
      <c r="A78" s="1"/>
      <c r="B78" s="1"/>
      <c r="C78" s="1"/>
      <c r="D78" s="1"/>
      <c r="E78" s="1" t="s">
        <v>88</v>
      </c>
      <c r="F78" s="1"/>
      <c r="G78" s="2"/>
      <c r="H78" s="3"/>
      <c r="I78" s="2"/>
      <c r="J78" s="3"/>
      <c r="K78" s="2"/>
      <c r="L78" s="3"/>
      <c r="M78" s="2"/>
      <c r="N78" s="3"/>
      <c r="O78" s="2"/>
      <c r="P78" s="3"/>
      <c r="Q78" s="2"/>
      <c r="R78" s="3"/>
      <c r="S78" s="2"/>
      <c r="T78" s="3"/>
      <c r="U78" s="2"/>
      <c r="V78" s="3"/>
      <c r="W78" s="2"/>
      <c r="X78" s="3"/>
      <c r="Y78" s="2"/>
      <c r="Z78" s="3"/>
      <c r="AA78" s="2"/>
      <c r="AB78" s="3"/>
      <c r="AC78" s="2"/>
      <c r="AD78" s="3"/>
      <c r="AE78" s="2"/>
    </row>
    <row r="79" spans="1:31" x14ac:dyDescent="0.25">
      <c r="A79" s="1"/>
      <c r="B79" s="1"/>
      <c r="C79" s="1"/>
      <c r="D79" s="1"/>
      <c r="E79" s="1"/>
      <c r="F79" s="1" t="s">
        <v>89</v>
      </c>
      <c r="G79" s="2">
        <v>6397.5</v>
      </c>
      <c r="H79" s="3"/>
      <c r="I79" s="2">
        <v>0</v>
      </c>
      <c r="J79" s="3"/>
      <c r="K79" s="2">
        <v>0</v>
      </c>
      <c r="L79" s="3"/>
      <c r="M79" s="2">
        <v>8793</v>
      </c>
      <c r="N79" s="3"/>
      <c r="O79" s="2">
        <v>0</v>
      </c>
      <c r="P79" s="3"/>
      <c r="Q79" s="2">
        <v>10778.78</v>
      </c>
      <c r="R79" s="3"/>
      <c r="S79" s="2">
        <v>975</v>
      </c>
      <c r="T79" s="3"/>
      <c r="U79" s="2">
        <v>1210</v>
      </c>
      <c r="V79" s="3"/>
      <c r="W79" s="2">
        <v>9954</v>
      </c>
      <c r="X79" s="3"/>
      <c r="Y79" s="2">
        <v>1705</v>
      </c>
      <c r="Z79" s="3"/>
      <c r="AA79" s="2">
        <v>6256</v>
      </c>
      <c r="AB79" s="3"/>
      <c r="AC79" s="2">
        <v>1292.5</v>
      </c>
      <c r="AD79" s="3"/>
      <c r="AE79" s="2">
        <f>ROUND(SUM(G79:AC79),5)</f>
        <v>47361.78</v>
      </c>
    </row>
    <row r="80" spans="1:31" ht="15.75" thickBot="1" x14ac:dyDescent="0.3">
      <c r="A80" s="1"/>
      <c r="B80" s="1"/>
      <c r="C80" s="1"/>
      <c r="D80" s="1"/>
      <c r="E80" s="1"/>
      <c r="F80" s="1" t="s">
        <v>90</v>
      </c>
      <c r="G80" s="4">
        <v>0</v>
      </c>
      <c r="H80" s="3"/>
      <c r="I80" s="4">
        <v>0</v>
      </c>
      <c r="J80" s="3"/>
      <c r="K80" s="4">
        <v>0</v>
      </c>
      <c r="L80" s="3"/>
      <c r="M80" s="4">
        <v>0</v>
      </c>
      <c r="N80" s="3"/>
      <c r="O80" s="4">
        <v>0</v>
      </c>
      <c r="P80" s="3"/>
      <c r="Q80" s="4">
        <v>0</v>
      </c>
      <c r="R80" s="3"/>
      <c r="S80" s="4">
        <v>0</v>
      </c>
      <c r="T80" s="3"/>
      <c r="U80" s="4">
        <v>0</v>
      </c>
      <c r="V80" s="3"/>
      <c r="W80" s="4">
        <v>0</v>
      </c>
      <c r="X80" s="3"/>
      <c r="Y80" s="4">
        <v>975</v>
      </c>
      <c r="Z80" s="3"/>
      <c r="AA80" s="4">
        <v>0</v>
      </c>
      <c r="AB80" s="3"/>
      <c r="AC80" s="4">
        <v>0</v>
      </c>
      <c r="AD80" s="3"/>
      <c r="AE80" s="4">
        <f>ROUND(SUM(G80:AC80),5)</f>
        <v>975</v>
      </c>
    </row>
    <row r="81" spans="1:31" x14ac:dyDescent="0.25">
      <c r="A81" s="1"/>
      <c r="B81" s="1"/>
      <c r="C81" s="1"/>
      <c r="D81" s="1"/>
      <c r="E81" s="1" t="s">
        <v>91</v>
      </c>
      <c r="F81" s="1"/>
      <c r="G81" s="2">
        <f>ROUND(SUM(G78:G80),5)</f>
        <v>6397.5</v>
      </c>
      <c r="H81" s="3"/>
      <c r="I81" s="2">
        <f>ROUND(SUM(I78:I80),5)</f>
        <v>0</v>
      </c>
      <c r="J81" s="3"/>
      <c r="K81" s="2">
        <f>ROUND(SUM(K78:K80),5)</f>
        <v>0</v>
      </c>
      <c r="L81" s="3"/>
      <c r="M81" s="2">
        <f>ROUND(SUM(M78:M80),5)</f>
        <v>8793</v>
      </c>
      <c r="N81" s="3"/>
      <c r="O81" s="2">
        <f>ROUND(SUM(O78:O80),5)</f>
        <v>0</v>
      </c>
      <c r="P81" s="3"/>
      <c r="Q81" s="2">
        <f>ROUND(SUM(Q78:Q80),5)</f>
        <v>10778.78</v>
      </c>
      <c r="R81" s="3"/>
      <c r="S81" s="2">
        <f>ROUND(SUM(S78:S80),5)</f>
        <v>975</v>
      </c>
      <c r="T81" s="3"/>
      <c r="U81" s="2">
        <f>ROUND(SUM(U78:U80),5)</f>
        <v>1210</v>
      </c>
      <c r="V81" s="3"/>
      <c r="W81" s="2">
        <f>ROUND(SUM(W78:W80),5)</f>
        <v>9954</v>
      </c>
      <c r="X81" s="3"/>
      <c r="Y81" s="2">
        <f>ROUND(SUM(Y78:Y80),5)</f>
        <v>2680</v>
      </c>
      <c r="Z81" s="3"/>
      <c r="AA81" s="2">
        <f>ROUND(SUM(AA78:AA80),5)</f>
        <v>6256</v>
      </c>
      <c r="AB81" s="3"/>
      <c r="AC81" s="2">
        <f>ROUND(SUM(AC78:AC80),5)</f>
        <v>1292.5</v>
      </c>
      <c r="AD81" s="3"/>
      <c r="AE81" s="2">
        <f>ROUND(SUM(G81:AC81),5)</f>
        <v>48336.78</v>
      </c>
    </row>
    <row r="82" spans="1:31" x14ac:dyDescent="0.25">
      <c r="A82" s="1"/>
      <c r="B82" s="1"/>
      <c r="C82" s="1"/>
      <c r="D82" s="1"/>
      <c r="E82" s="1" t="s">
        <v>92</v>
      </c>
      <c r="F82" s="1"/>
      <c r="G82" s="2">
        <v>0</v>
      </c>
      <c r="H82" s="3"/>
      <c r="I82" s="2">
        <v>0</v>
      </c>
      <c r="J82" s="3"/>
      <c r="K82" s="2">
        <v>0</v>
      </c>
      <c r="L82" s="3"/>
      <c r="M82" s="2">
        <v>987.32</v>
      </c>
      <c r="N82" s="3"/>
      <c r="O82" s="2">
        <v>847.87</v>
      </c>
      <c r="P82" s="3"/>
      <c r="Q82" s="2">
        <v>1560.85</v>
      </c>
      <c r="R82" s="3"/>
      <c r="S82" s="2">
        <v>1107.71</v>
      </c>
      <c r="T82" s="3"/>
      <c r="U82" s="2">
        <v>5132.1099999999997</v>
      </c>
      <c r="V82" s="3"/>
      <c r="W82" s="2">
        <v>2136.6799999999998</v>
      </c>
      <c r="X82" s="3"/>
      <c r="Y82" s="2">
        <v>242.84</v>
      </c>
      <c r="Z82" s="3"/>
      <c r="AA82" s="2">
        <v>2524.27</v>
      </c>
      <c r="AB82" s="3"/>
      <c r="AC82" s="2">
        <v>1807.59</v>
      </c>
      <c r="AD82" s="3"/>
      <c r="AE82" s="2">
        <f>ROUND(SUM(G82:AC82),5)</f>
        <v>16347.24</v>
      </c>
    </row>
    <row r="83" spans="1:31" x14ac:dyDescent="0.25">
      <c r="A83" s="1"/>
      <c r="B83" s="1"/>
      <c r="C83" s="1"/>
      <c r="D83" s="1"/>
      <c r="E83" s="1" t="s">
        <v>93</v>
      </c>
      <c r="F83" s="1"/>
      <c r="G83" s="2">
        <v>0</v>
      </c>
      <c r="H83" s="3"/>
      <c r="I83" s="2">
        <v>0</v>
      </c>
      <c r="J83" s="3"/>
      <c r="K83" s="2">
        <v>55000</v>
      </c>
      <c r="L83" s="3"/>
      <c r="M83" s="2">
        <v>10000</v>
      </c>
      <c r="N83" s="3"/>
      <c r="O83" s="2">
        <v>110000</v>
      </c>
      <c r="P83" s="3"/>
      <c r="Q83" s="2">
        <v>30000</v>
      </c>
      <c r="R83" s="3"/>
      <c r="S83" s="2">
        <v>65000</v>
      </c>
      <c r="T83" s="3"/>
      <c r="U83" s="2">
        <v>35000</v>
      </c>
      <c r="V83" s="3"/>
      <c r="W83" s="2">
        <v>5000</v>
      </c>
      <c r="X83" s="3"/>
      <c r="Y83" s="2">
        <v>45000</v>
      </c>
      <c r="Z83" s="3"/>
      <c r="AA83" s="2">
        <v>25000</v>
      </c>
      <c r="AB83" s="3"/>
      <c r="AC83" s="2">
        <v>146750</v>
      </c>
      <c r="AD83" s="3"/>
      <c r="AE83" s="2">
        <f>ROUND(SUM(G83:AC83),5)</f>
        <v>526750</v>
      </c>
    </row>
    <row r="84" spans="1:31" x14ac:dyDescent="0.25">
      <c r="A84" s="1"/>
      <c r="B84" s="1"/>
      <c r="C84" s="1"/>
      <c r="D84" s="1"/>
      <c r="E84" s="1" t="s">
        <v>94</v>
      </c>
      <c r="F84" s="1"/>
      <c r="G84" s="2"/>
      <c r="H84" s="3"/>
      <c r="I84" s="2"/>
      <c r="J84" s="3"/>
      <c r="K84" s="2"/>
      <c r="L84" s="3"/>
      <c r="M84" s="2"/>
      <c r="N84" s="3"/>
      <c r="O84" s="2"/>
      <c r="P84" s="3"/>
      <c r="Q84" s="2"/>
      <c r="R84" s="3"/>
      <c r="S84" s="2"/>
      <c r="T84" s="3"/>
      <c r="U84" s="2"/>
      <c r="V84" s="3"/>
      <c r="W84" s="2"/>
      <c r="X84" s="3"/>
      <c r="Y84" s="2"/>
      <c r="Z84" s="3"/>
      <c r="AA84" s="2"/>
      <c r="AB84" s="3"/>
      <c r="AC84" s="2"/>
      <c r="AD84" s="3"/>
      <c r="AE84" s="2"/>
    </row>
    <row r="85" spans="1:31" x14ac:dyDescent="0.25">
      <c r="A85" s="1"/>
      <c r="B85" s="1"/>
      <c r="C85" s="1"/>
      <c r="D85" s="1"/>
      <c r="E85" s="1"/>
      <c r="F85" s="1" t="s">
        <v>95</v>
      </c>
      <c r="G85" s="2">
        <v>0</v>
      </c>
      <c r="H85" s="3"/>
      <c r="I85" s="2">
        <v>3897</v>
      </c>
      <c r="J85" s="3"/>
      <c r="K85" s="2">
        <v>21738</v>
      </c>
      <c r="L85" s="3"/>
      <c r="M85" s="2">
        <v>4816.2</v>
      </c>
      <c r="N85" s="3"/>
      <c r="O85" s="2">
        <v>3801.88</v>
      </c>
      <c r="P85" s="3"/>
      <c r="Q85" s="2">
        <v>150</v>
      </c>
      <c r="R85" s="3"/>
      <c r="S85" s="2">
        <v>0</v>
      </c>
      <c r="T85" s="3"/>
      <c r="U85" s="2">
        <v>4019.13</v>
      </c>
      <c r="V85" s="3"/>
      <c r="W85" s="2">
        <v>0</v>
      </c>
      <c r="X85" s="3"/>
      <c r="Y85" s="2">
        <v>0</v>
      </c>
      <c r="Z85" s="3"/>
      <c r="AA85" s="2">
        <v>0</v>
      </c>
      <c r="AB85" s="3"/>
      <c r="AC85" s="2">
        <v>105.38</v>
      </c>
      <c r="AD85" s="3"/>
      <c r="AE85" s="2">
        <f>ROUND(SUM(G85:AC85),5)</f>
        <v>38527.589999999997</v>
      </c>
    </row>
    <row r="86" spans="1:31" x14ac:dyDescent="0.25">
      <c r="A86" s="1"/>
      <c r="B86" s="1"/>
      <c r="C86" s="1"/>
      <c r="D86" s="1"/>
      <c r="E86" s="1"/>
      <c r="F86" s="1" t="s">
        <v>96</v>
      </c>
      <c r="G86" s="2">
        <v>1172.06</v>
      </c>
      <c r="H86" s="3"/>
      <c r="I86" s="2">
        <v>675</v>
      </c>
      <c r="J86" s="3"/>
      <c r="K86" s="2">
        <v>750</v>
      </c>
      <c r="L86" s="3"/>
      <c r="M86" s="2">
        <v>330</v>
      </c>
      <c r="N86" s="3"/>
      <c r="O86" s="2">
        <v>0</v>
      </c>
      <c r="P86" s="3"/>
      <c r="Q86" s="2">
        <v>1969.83</v>
      </c>
      <c r="R86" s="3"/>
      <c r="S86" s="2">
        <v>439.35</v>
      </c>
      <c r="T86" s="3"/>
      <c r="U86" s="2">
        <v>555.78</v>
      </c>
      <c r="V86" s="3"/>
      <c r="W86" s="2">
        <v>5037.88</v>
      </c>
      <c r="X86" s="3"/>
      <c r="Y86" s="2">
        <v>1859.42</v>
      </c>
      <c r="Z86" s="3"/>
      <c r="AA86" s="2">
        <v>0</v>
      </c>
      <c r="AB86" s="3"/>
      <c r="AC86" s="2">
        <v>0</v>
      </c>
      <c r="AD86" s="3"/>
      <c r="AE86" s="2">
        <f>ROUND(SUM(G86:AC86),5)</f>
        <v>12789.32</v>
      </c>
    </row>
    <row r="87" spans="1:31" ht="15.75" thickBot="1" x14ac:dyDescent="0.3">
      <c r="A87" s="1"/>
      <c r="B87" s="1"/>
      <c r="C87" s="1"/>
      <c r="D87" s="1"/>
      <c r="E87" s="1"/>
      <c r="F87" s="1" t="s">
        <v>97</v>
      </c>
      <c r="G87" s="4">
        <v>7252.73</v>
      </c>
      <c r="H87" s="3"/>
      <c r="I87" s="4">
        <v>4094.25</v>
      </c>
      <c r="J87" s="3"/>
      <c r="K87" s="4">
        <v>6676.01</v>
      </c>
      <c r="L87" s="3"/>
      <c r="M87" s="4">
        <v>8743.39</v>
      </c>
      <c r="N87" s="3"/>
      <c r="O87" s="4">
        <v>9925.5300000000007</v>
      </c>
      <c r="P87" s="3"/>
      <c r="Q87" s="4">
        <v>9314.5499999999993</v>
      </c>
      <c r="R87" s="3"/>
      <c r="S87" s="4">
        <v>25691.200000000001</v>
      </c>
      <c r="T87" s="3"/>
      <c r="U87" s="4">
        <v>8366.6</v>
      </c>
      <c r="V87" s="3"/>
      <c r="W87" s="4">
        <v>6098.61</v>
      </c>
      <c r="X87" s="3"/>
      <c r="Y87" s="4">
        <v>10222.969999999999</v>
      </c>
      <c r="Z87" s="3"/>
      <c r="AA87" s="4">
        <v>19171.27</v>
      </c>
      <c r="AB87" s="3"/>
      <c r="AC87" s="4">
        <v>16837.740000000002</v>
      </c>
      <c r="AD87" s="3"/>
      <c r="AE87" s="4">
        <f>ROUND(SUM(G87:AC87),5)</f>
        <v>132394.85</v>
      </c>
    </row>
    <row r="88" spans="1:31" x14ac:dyDescent="0.25">
      <c r="A88" s="1"/>
      <c r="B88" s="1"/>
      <c r="C88" s="1"/>
      <c r="D88" s="1"/>
      <c r="E88" s="1" t="s">
        <v>98</v>
      </c>
      <c r="F88" s="1"/>
      <c r="G88" s="2">
        <f>ROUND(SUM(G84:G87),5)</f>
        <v>8424.7900000000009</v>
      </c>
      <c r="H88" s="3"/>
      <c r="I88" s="2">
        <f>ROUND(SUM(I84:I87),5)</f>
        <v>8666.25</v>
      </c>
      <c r="J88" s="3"/>
      <c r="K88" s="2">
        <f>ROUND(SUM(K84:K87),5)</f>
        <v>29164.01</v>
      </c>
      <c r="L88" s="3"/>
      <c r="M88" s="2">
        <f>ROUND(SUM(M84:M87),5)</f>
        <v>13889.59</v>
      </c>
      <c r="N88" s="3"/>
      <c r="O88" s="2">
        <f>ROUND(SUM(O84:O87),5)</f>
        <v>13727.41</v>
      </c>
      <c r="P88" s="3"/>
      <c r="Q88" s="2">
        <f>ROUND(SUM(Q84:Q87),5)</f>
        <v>11434.38</v>
      </c>
      <c r="R88" s="3"/>
      <c r="S88" s="2">
        <f>ROUND(SUM(S84:S87),5)</f>
        <v>26130.55</v>
      </c>
      <c r="T88" s="3"/>
      <c r="U88" s="2">
        <f>ROUND(SUM(U84:U87),5)</f>
        <v>12941.51</v>
      </c>
      <c r="V88" s="3"/>
      <c r="W88" s="2">
        <f>ROUND(SUM(W84:W87),5)</f>
        <v>11136.49</v>
      </c>
      <c r="X88" s="3"/>
      <c r="Y88" s="2">
        <f>ROUND(SUM(Y84:Y87),5)</f>
        <v>12082.39</v>
      </c>
      <c r="Z88" s="3"/>
      <c r="AA88" s="2">
        <f>ROUND(SUM(AA84:AA87),5)</f>
        <v>19171.27</v>
      </c>
      <c r="AB88" s="3"/>
      <c r="AC88" s="2">
        <f>ROUND(SUM(AC84:AC87),5)</f>
        <v>16943.12</v>
      </c>
      <c r="AD88" s="3"/>
      <c r="AE88" s="2">
        <f>ROUND(SUM(G88:AC88),5)</f>
        <v>183711.76</v>
      </c>
    </row>
    <row r="89" spans="1:31" x14ac:dyDescent="0.25">
      <c r="A89" s="1"/>
      <c r="B89" s="1"/>
      <c r="C89" s="1"/>
      <c r="D89" s="1"/>
      <c r="E89" s="1" t="s">
        <v>99</v>
      </c>
      <c r="F89" s="1"/>
      <c r="G89" s="2">
        <v>0</v>
      </c>
      <c r="H89" s="3"/>
      <c r="I89" s="2">
        <v>81398.259999999995</v>
      </c>
      <c r="J89" s="3"/>
      <c r="K89" s="2">
        <v>87006</v>
      </c>
      <c r="L89" s="3"/>
      <c r="M89" s="2">
        <v>87455.76</v>
      </c>
      <c r="N89" s="3"/>
      <c r="O89" s="2">
        <v>104939.29</v>
      </c>
      <c r="P89" s="3"/>
      <c r="Q89" s="2">
        <v>88805.24</v>
      </c>
      <c r="R89" s="3"/>
      <c r="S89" s="2">
        <v>94574.27</v>
      </c>
      <c r="T89" s="3"/>
      <c r="U89" s="2">
        <v>120409.47</v>
      </c>
      <c r="V89" s="3"/>
      <c r="W89" s="2">
        <v>87850.09</v>
      </c>
      <c r="X89" s="3"/>
      <c r="Y89" s="2">
        <v>85552.97</v>
      </c>
      <c r="Z89" s="3"/>
      <c r="AA89" s="2">
        <v>120012.75</v>
      </c>
      <c r="AB89" s="3"/>
      <c r="AC89" s="2">
        <v>152999.75</v>
      </c>
      <c r="AD89" s="3"/>
      <c r="AE89" s="2">
        <f>ROUND(SUM(G89:AC89),5)</f>
        <v>1111003.8500000001</v>
      </c>
    </row>
    <row r="90" spans="1:31" x14ac:dyDescent="0.25">
      <c r="A90" s="1"/>
      <c r="B90" s="1"/>
      <c r="C90" s="1"/>
      <c r="D90" s="1"/>
      <c r="E90" s="1" t="s">
        <v>100</v>
      </c>
      <c r="F90" s="1"/>
      <c r="G90" s="2">
        <v>0</v>
      </c>
      <c r="H90" s="3"/>
      <c r="I90" s="2">
        <v>0</v>
      </c>
      <c r="J90" s="3"/>
      <c r="K90" s="2">
        <v>0</v>
      </c>
      <c r="L90" s="3"/>
      <c r="M90" s="2">
        <v>0</v>
      </c>
      <c r="N90" s="3"/>
      <c r="O90" s="2">
        <v>8937.5</v>
      </c>
      <c r="P90" s="3"/>
      <c r="Q90" s="2">
        <v>1750</v>
      </c>
      <c r="R90" s="3"/>
      <c r="S90" s="2">
        <v>0</v>
      </c>
      <c r="T90" s="3"/>
      <c r="U90" s="2">
        <v>4075</v>
      </c>
      <c r="V90" s="3"/>
      <c r="W90" s="2">
        <v>0</v>
      </c>
      <c r="X90" s="3"/>
      <c r="Y90" s="2">
        <v>0</v>
      </c>
      <c r="Z90" s="3"/>
      <c r="AA90" s="2">
        <v>0</v>
      </c>
      <c r="AB90" s="3"/>
      <c r="AC90" s="2">
        <v>0</v>
      </c>
      <c r="AD90" s="3"/>
      <c r="AE90" s="2">
        <f>ROUND(SUM(G90:AC90),5)</f>
        <v>14762.5</v>
      </c>
    </row>
    <row r="91" spans="1:31" x14ac:dyDescent="0.25">
      <c r="A91" s="1"/>
      <c r="B91" s="1"/>
      <c r="C91" s="1"/>
      <c r="D91" s="1"/>
      <c r="E91" s="1" t="s">
        <v>101</v>
      </c>
      <c r="F91" s="1"/>
      <c r="G91" s="2"/>
      <c r="H91" s="3"/>
      <c r="I91" s="2"/>
      <c r="J91" s="3"/>
      <c r="K91" s="2"/>
      <c r="L91" s="3"/>
      <c r="M91" s="2"/>
      <c r="N91" s="3"/>
      <c r="O91" s="2"/>
      <c r="P91" s="3"/>
      <c r="Q91" s="2"/>
      <c r="R91" s="3"/>
      <c r="S91" s="2"/>
      <c r="T91" s="3"/>
      <c r="U91" s="2"/>
      <c r="V91" s="3"/>
      <c r="W91" s="2"/>
      <c r="X91" s="3"/>
      <c r="Y91" s="2"/>
      <c r="Z91" s="3"/>
      <c r="AA91" s="2"/>
      <c r="AB91" s="3"/>
      <c r="AC91" s="2"/>
      <c r="AD91" s="3"/>
      <c r="AE91" s="2"/>
    </row>
    <row r="92" spans="1:31" x14ac:dyDescent="0.25">
      <c r="A92" s="1"/>
      <c r="B92" s="1"/>
      <c r="C92" s="1"/>
      <c r="D92" s="1"/>
      <c r="E92" s="1"/>
      <c r="F92" s="1" t="s">
        <v>102</v>
      </c>
      <c r="G92" s="2">
        <v>1267.23</v>
      </c>
      <c r="H92" s="3"/>
      <c r="I92" s="2">
        <v>231.39</v>
      </c>
      <c r="J92" s="3"/>
      <c r="K92" s="2">
        <v>1539.14</v>
      </c>
      <c r="L92" s="3"/>
      <c r="M92" s="2">
        <v>1273.6400000000001</v>
      </c>
      <c r="N92" s="3"/>
      <c r="O92" s="2">
        <v>740.21</v>
      </c>
      <c r="P92" s="3"/>
      <c r="Q92" s="2">
        <v>1302.69</v>
      </c>
      <c r="R92" s="3"/>
      <c r="S92" s="2">
        <v>1021.72</v>
      </c>
      <c r="T92" s="3"/>
      <c r="U92" s="2">
        <v>1302.96</v>
      </c>
      <c r="V92" s="3"/>
      <c r="W92" s="2">
        <v>740.48</v>
      </c>
      <c r="X92" s="3"/>
      <c r="Y92" s="2">
        <v>1021.96</v>
      </c>
      <c r="Z92" s="3"/>
      <c r="AA92" s="2">
        <v>1021.23</v>
      </c>
      <c r="AB92" s="3"/>
      <c r="AC92" s="2">
        <v>739.99</v>
      </c>
      <c r="AD92" s="3"/>
      <c r="AE92" s="2">
        <f>ROUND(SUM(G92:AC92),5)</f>
        <v>12202.64</v>
      </c>
    </row>
    <row r="93" spans="1:31" x14ac:dyDescent="0.25">
      <c r="A93" s="1"/>
      <c r="B93" s="1"/>
      <c r="C93" s="1"/>
      <c r="D93" s="1"/>
      <c r="E93" s="1"/>
      <c r="F93" s="1" t="s">
        <v>103</v>
      </c>
      <c r="G93" s="2">
        <v>10029.75</v>
      </c>
      <c r="H93" s="3"/>
      <c r="I93" s="2">
        <v>12934.42</v>
      </c>
      <c r="J93" s="3"/>
      <c r="K93" s="2">
        <v>10800.25</v>
      </c>
      <c r="L93" s="3"/>
      <c r="M93" s="2">
        <v>10867.54</v>
      </c>
      <c r="N93" s="3"/>
      <c r="O93" s="2">
        <v>8523.89</v>
      </c>
      <c r="P93" s="3"/>
      <c r="Q93" s="2">
        <v>10338.370000000001</v>
      </c>
      <c r="R93" s="3"/>
      <c r="S93" s="2">
        <v>12904.22</v>
      </c>
      <c r="T93" s="3"/>
      <c r="U93" s="2">
        <v>16321.61</v>
      </c>
      <c r="V93" s="3"/>
      <c r="W93" s="2">
        <v>14114.76</v>
      </c>
      <c r="X93" s="3"/>
      <c r="Y93" s="2">
        <v>74.5</v>
      </c>
      <c r="Z93" s="3"/>
      <c r="AA93" s="2">
        <v>9021.2800000000007</v>
      </c>
      <c r="AB93" s="3"/>
      <c r="AC93" s="2">
        <v>8454.2199999999993</v>
      </c>
      <c r="AD93" s="3"/>
      <c r="AE93" s="2">
        <f>ROUND(SUM(G93:AC93),5)</f>
        <v>124384.81</v>
      </c>
    </row>
    <row r="94" spans="1:31" x14ac:dyDescent="0.25">
      <c r="A94" s="1"/>
      <c r="B94" s="1"/>
      <c r="C94" s="1"/>
      <c r="D94" s="1"/>
      <c r="E94" s="1"/>
      <c r="F94" s="1" t="s">
        <v>104</v>
      </c>
      <c r="G94" s="2">
        <v>3344.37</v>
      </c>
      <c r="H94" s="3"/>
      <c r="I94" s="2">
        <v>394.13</v>
      </c>
      <c r="J94" s="3"/>
      <c r="K94" s="2">
        <v>2520.2800000000002</v>
      </c>
      <c r="L94" s="3"/>
      <c r="M94" s="2">
        <v>7181.26</v>
      </c>
      <c r="N94" s="3"/>
      <c r="O94" s="2">
        <v>0</v>
      </c>
      <c r="P94" s="3"/>
      <c r="Q94" s="2">
        <v>2536.39</v>
      </c>
      <c r="R94" s="3"/>
      <c r="S94" s="2">
        <v>4285.82</v>
      </c>
      <c r="T94" s="3"/>
      <c r="U94" s="2">
        <v>410.4</v>
      </c>
      <c r="V94" s="3"/>
      <c r="W94" s="2">
        <v>0</v>
      </c>
      <c r="X94" s="3"/>
      <c r="Y94" s="2">
        <v>0</v>
      </c>
      <c r="Z94" s="3"/>
      <c r="AA94" s="2">
        <v>0</v>
      </c>
      <c r="AB94" s="3"/>
      <c r="AC94" s="2">
        <v>0</v>
      </c>
      <c r="AD94" s="3"/>
      <c r="AE94" s="2">
        <f>ROUND(SUM(G94:AC94),5)</f>
        <v>20672.650000000001</v>
      </c>
    </row>
    <row r="95" spans="1:31" x14ac:dyDescent="0.25">
      <c r="A95" s="1"/>
      <c r="B95" s="1"/>
      <c r="C95" s="1"/>
      <c r="D95" s="1"/>
      <c r="E95" s="1"/>
      <c r="F95" s="1" t="s">
        <v>105</v>
      </c>
      <c r="G95" s="2">
        <v>3714.02</v>
      </c>
      <c r="H95" s="3"/>
      <c r="I95" s="2">
        <v>0</v>
      </c>
      <c r="J95" s="3"/>
      <c r="K95" s="2">
        <v>2348.67</v>
      </c>
      <c r="L95" s="3"/>
      <c r="M95" s="2">
        <v>5836.34</v>
      </c>
      <c r="N95" s="3"/>
      <c r="O95" s="2">
        <v>512.4</v>
      </c>
      <c r="P95" s="3"/>
      <c r="Q95" s="2">
        <v>0</v>
      </c>
      <c r="R95" s="3"/>
      <c r="S95" s="2">
        <v>0</v>
      </c>
      <c r="T95" s="3"/>
      <c r="U95" s="2">
        <v>0</v>
      </c>
      <c r="V95" s="3"/>
      <c r="W95" s="2">
        <v>0</v>
      </c>
      <c r="X95" s="3"/>
      <c r="Y95" s="2">
        <v>1104.98</v>
      </c>
      <c r="Z95" s="3"/>
      <c r="AA95" s="2">
        <v>411.7</v>
      </c>
      <c r="AB95" s="3"/>
      <c r="AC95" s="2">
        <v>2545.81</v>
      </c>
      <c r="AD95" s="3"/>
      <c r="AE95" s="2">
        <f>ROUND(SUM(G95:AC95),5)</f>
        <v>16473.919999999998</v>
      </c>
    </row>
    <row r="96" spans="1:31" x14ac:dyDescent="0.25">
      <c r="A96" s="1"/>
      <c r="B96" s="1"/>
      <c r="C96" s="1"/>
      <c r="D96" s="1"/>
      <c r="E96" s="1"/>
      <c r="F96" s="1" t="s">
        <v>106</v>
      </c>
      <c r="G96" s="2">
        <v>171.3</v>
      </c>
      <c r="H96" s="3"/>
      <c r="I96" s="2">
        <v>225.6</v>
      </c>
      <c r="J96" s="3"/>
      <c r="K96" s="2">
        <v>165.17</v>
      </c>
      <c r="L96" s="3"/>
      <c r="M96" s="2">
        <v>2241.58</v>
      </c>
      <c r="N96" s="3"/>
      <c r="O96" s="2">
        <v>0</v>
      </c>
      <c r="P96" s="3"/>
      <c r="Q96" s="2">
        <v>0</v>
      </c>
      <c r="R96" s="3"/>
      <c r="S96" s="2">
        <v>0</v>
      </c>
      <c r="T96" s="3"/>
      <c r="U96" s="2">
        <v>0</v>
      </c>
      <c r="V96" s="3"/>
      <c r="W96" s="2">
        <v>6090.32</v>
      </c>
      <c r="X96" s="3"/>
      <c r="Y96" s="2">
        <v>0</v>
      </c>
      <c r="Z96" s="3"/>
      <c r="AA96" s="2">
        <v>3549.51</v>
      </c>
      <c r="AB96" s="3"/>
      <c r="AC96" s="2">
        <v>-5022.42</v>
      </c>
      <c r="AD96" s="3"/>
      <c r="AE96" s="2">
        <f>ROUND(SUM(G96:AC96),5)</f>
        <v>7421.06</v>
      </c>
    </row>
    <row r="97" spans="1:31" ht="15.75" thickBot="1" x14ac:dyDescent="0.3">
      <c r="A97" s="1"/>
      <c r="B97" s="1"/>
      <c r="C97" s="1"/>
      <c r="D97" s="1"/>
      <c r="E97" s="1"/>
      <c r="F97" s="1" t="s">
        <v>107</v>
      </c>
      <c r="G97" s="5">
        <v>48.25</v>
      </c>
      <c r="H97" s="3"/>
      <c r="I97" s="5">
        <v>416.26</v>
      </c>
      <c r="J97" s="3"/>
      <c r="K97" s="5">
        <v>193</v>
      </c>
      <c r="L97" s="3"/>
      <c r="M97" s="5">
        <v>13209</v>
      </c>
      <c r="N97" s="3"/>
      <c r="O97" s="5">
        <v>144.75</v>
      </c>
      <c r="P97" s="3"/>
      <c r="Q97" s="5">
        <v>0</v>
      </c>
      <c r="R97" s="3"/>
      <c r="S97" s="5">
        <v>48.25</v>
      </c>
      <c r="T97" s="3"/>
      <c r="U97" s="5">
        <v>0</v>
      </c>
      <c r="V97" s="3"/>
      <c r="W97" s="5">
        <v>0</v>
      </c>
      <c r="X97" s="3"/>
      <c r="Y97" s="5">
        <v>12910.28</v>
      </c>
      <c r="Z97" s="3"/>
      <c r="AA97" s="5">
        <v>0</v>
      </c>
      <c r="AB97" s="3"/>
      <c r="AC97" s="5">
        <v>0</v>
      </c>
      <c r="AD97" s="3"/>
      <c r="AE97" s="5">
        <f>ROUND(SUM(G97:AC97),5)</f>
        <v>26969.79</v>
      </c>
    </row>
    <row r="98" spans="1:31" ht="15.75" thickBot="1" x14ac:dyDescent="0.3">
      <c r="A98" s="1"/>
      <c r="B98" s="1"/>
      <c r="C98" s="1"/>
      <c r="D98" s="1"/>
      <c r="E98" s="1" t="s">
        <v>108</v>
      </c>
      <c r="F98" s="1"/>
      <c r="G98" s="7">
        <f>ROUND(SUM(G91:G97),5)</f>
        <v>18574.919999999998</v>
      </c>
      <c r="H98" s="3"/>
      <c r="I98" s="7">
        <f>ROUND(SUM(I91:I97),5)</f>
        <v>14201.8</v>
      </c>
      <c r="J98" s="3"/>
      <c r="K98" s="7">
        <f>ROUND(SUM(K91:K97),5)</f>
        <v>17566.509999999998</v>
      </c>
      <c r="L98" s="3"/>
      <c r="M98" s="7">
        <f>ROUND(SUM(M91:M97),5)</f>
        <v>40609.360000000001</v>
      </c>
      <c r="N98" s="3"/>
      <c r="O98" s="7">
        <f>ROUND(SUM(O91:O97),5)</f>
        <v>9921.25</v>
      </c>
      <c r="P98" s="3"/>
      <c r="Q98" s="7">
        <f>ROUND(SUM(Q91:Q97),5)</f>
        <v>14177.45</v>
      </c>
      <c r="R98" s="3"/>
      <c r="S98" s="7">
        <f>ROUND(SUM(S91:S97),5)</f>
        <v>18260.009999999998</v>
      </c>
      <c r="T98" s="3"/>
      <c r="U98" s="7">
        <f>ROUND(SUM(U91:U97),5)</f>
        <v>18034.97</v>
      </c>
      <c r="V98" s="3"/>
      <c r="W98" s="7">
        <f>ROUND(SUM(W91:W97),5)</f>
        <v>20945.560000000001</v>
      </c>
      <c r="X98" s="3"/>
      <c r="Y98" s="7">
        <f>ROUND(SUM(Y91:Y97),5)</f>
        <v>15111.72</v>
      </c>
      <c r="Z98" s="3"/>
      <c r="AA98" s="7">
        <f>ROUND(SUM(AA91:AA97),5)</f>
        <v>14003.72</v>
      </c>
      <c r="AB98" s="3"/>
      <c r="AC98" s="7">
        <f>ROUND(SUM(AC91:AC97),5)</f>
        <v>6717.6</v>
      </c>
      <c r="AD98" s="3"/>
      <c r="AE98" s="7">
        <f>ROUND(SUM(G98:AC98),5)</f>
        <v>208124.87</v>
      </c>
    </row>
    <row r="99" spans="1:31" ht="15.75" thickBot="1" x14ac:dyDescent="0.3">
      <c r="A99" s="1"/>
      <c r="B99" s="1"/>
      <c r="C99" s="1"/>
      <c r="D99" s="1" t="s">
        <v>109</v>
      </c>
      <c r="E99" s="1"/>
      <c r="F99" s="1"/>
      <c r="G99" s="6">
        <f>ROUND(SUM(G43:G52)+SUM(G59:G69)+SUM(G76:G77)+SUM(G81:G83)+SUM(G88:G90)+G98,5)</f>
        <v>50224.88</v>
      </c>
      <c r="H99" s="3"/>
      <c r="I99" s="6">
        <f>ROUND(SUM(I43:I52)+SUM(I59:I69)+SUM(I76:I77)+SUM(I81:I83)+SUM(I88:I90)+I98,5)</f>
        <v>161321.92000000001</v>
      </c>
      <c r="J99" s="3"/>
      <c r="K99" s="6">
        <f>ROUND(SUM(K43:K52)+SUM(K59:K69)+SUM(K76:K77)+SUM(K81:K83)+SUM(K88:K90)+K98,5)</f>
        <v>250973.99</v>
      </c>
      <c r="L99" s="3"/>
      <c r="M99" s="6">
        <f>ROUND(SUM(M43:M52)+SUM(M59:M69)+SUM(M76:M77)+SUM(M81:M83)+SUM(M88:M90)+M98,5)</f>
        <v>248533.36</v>
      </c>
      <c r="N99" s="3"/>
      <c r="O99" s="6">
        <f>ROUND(SUM(O43:O52)+SUM(O59:O69)+SUM(O76:O77)+SUM(O81:O83)+SUM(O88:O90)+O98,5)</f>
        <v>314395.06</v>
      </c>
      <c r="P99" s="3"/>
      <c r="Q99" s="6">
        <f>ROUND(SUM(Q43:Q52)+SUM(Q59:Q69)+SUM(Q76:Q77)+SUM(Q81:Q83)+SUM(Q88:Q90)+Q98,5)</f>
        <v>230555.09</v>
      </c>
      <c r="R99" s="3"/>
      <c r="S99" s="6">
        <f>ROUND(SUM(S43:S52)+SUM(S59:S69)+SUM(S76:S77)+SUM(S81:S83)+SUM(S88:S90)+S98,5)</f>
        <v>349397.27</v>
      </c>
      <c r="T99" s="3"/>
      <c r="U99" s="6">
        <f>ROUND(SUM(U43:U52)+SUM(U59:U69)+SUM(U76:U77)+SUM(U81:U83)+SUM(U88:U90)+U98,5)</f>
        <v>264634.55</v>
      </c>
      <c r="V99" s="3"/>
      <c r="W99" s="6">
        <f>ROUND(SUM(W43:W52)+SUM(W59:W69)+SUM(W76:W77)+SUM(W81:W83)+SUM(W88:W90)+W98,5)</f>
        <v>362014.41</v>
      </c>
      <c r="X99" s="3"/>
      <c r="Y99" s="6">
        <f>ROUND(SUM(Y43:Y52)+SUM(Y59:Y69)+SUM(Y76:Y77)+SUM(Y81:Y83)+SUM(Y88:Y90)+Y98,5)</f>
        <v>237565.07</v>
      </c>
      <c r="Z99" s="3"/>
      <c r="AA99" s="6">
        <f>ROUND(SUM(AA43:AA52)+SUM(AA59:AA69)+SUM(AA76:AA77)+SUM(AA81:AA83)+SUM(AA88:AA90)+AA98,5)</f>
        <v>254509.32</v>
      </c>
      <c r="AB99" s="3"/>
      <c r="AC99" s="6">
        <f>ROUND(SUM(AC43:AC52)+SUM(AC59:AC69)+SUM(AC76:AC77)+SUM(AC81:AC83)+SUM(AC88:AC90)+AC98,5)</f>
        <v>428987.75</v>
      </c>
      <c r="AD99" s="3"/>
      <c r="AE99" s="6">
        <f>ROUND(SUM(G99:AC99),5)</f>
        <v>3153112.67</v>
      </c>
    </row>
    <row r="100" spans="1:31" x14ac:dyDescent="0.25">
      <c r="A100" s="1"/>
      <c r="B100" s="1" t="s">
        <v>110</v>
      </c>
      <c r="C100" s="1"/>
      <c r="D100" s="1"/>
      <c r="E100" s="1"/>
      <c r="F100" s="1"/>
      <c r="G100" s="2">
        <f>ROUND(G2+G42-G99,5)</f>
        <v>-86297.26</v>
      </c>
      <c r="H100" s="3"/>
      <c r="I100" s="2">
        <f>ROUND(I2+I42-I99,5)</f>
        <v>-77908.59</v>
      </c>
      <c r="J100" s="3"/>
      <c r="K100" s="2">
        <f>ROUND(K2+K42-K99,5)</f>
        <v>-386772.1</v>
      </c>
      <c r="L100" s="3"/>
      <c r="M100" s="2">
        <f>ROUND(M2+M42-M99,5)</f>
        <v>496783.16</v>
      </c>
      <c r="N100" s="3"/>
      <c r="O100" s="2">
        <f>ROUND(O2+O42-O99,5)</f>
        <v>-196013.18</v>
      </c>
      <c r="P100" s="3"/>
      <c r="Q100" s="2">
        <f>ROUND(Q2+Q42-Q99,5)</f>
        <v>-512773.3</v>
      </c>
      <c r="R100" s="3"/>
      <c r="S100" s="2">
        <f>ROUND(S2+S42-S99,5)</f>
        <v>656712.80000000005</v>
      </c>
      <c r="T100" s="3"/>
      <c r="U100" s="2">
        <f>ROUND(U2+U42-U99,5)</f>
        <v>-52651.86</v>
      </c>
      <c r="V100" s="3"/>
      <c r="W100" s="2">
        <f>ROUND(W2+W42-W99,5)</f>
        <v>-131441.32999999999</v>
      </c>
      <c r="X100" s="3"/>
      <c r="Y100" s="2">
        <f>ROUND(Y2+Y42-Y99,5)</f>
        <v>719972.17</v>
      </c>
      <c r="Z100" s="3"/>
      <c r="AA100" s="2">
        <f>ROUND(AA2+AA42-AA99,5)</f>
        <v>262259.64</v>
      </c>
      <c r="AB100" s="3"/>
      <c r="AC100" s="2">
        <f>ROUND(AC2+AC42-AC99,5)</f>
        <v>-659634.99</v>
      </c>
      <c r="AD100" s="3"/>
      <c r="AE100" s="2">
        <f>ROUND(SUM(G100:AC100),5)</f>
        <v>32235.16</v>
      </c>
    </row>
    <row r="101" spans="1:31" x14ac:dyDescent="0.25">
      <c r="A101" s="1"/>
      <c r="B101" s="1" t="s">
        <v>111</v>
      </c>
      <c r="C101" s="1"/>
      <c r="D101" s="1"/>
      <c r="E101" s="1"/>
      <c r="F101" s="1"/>
      <c r="G101" s="2"/>
      <c r="H101" s="3"/>
      <c r="I101" s="2"/>
      <c r="J101" s="3"/>
      <c r="K101" s="2"/>
      <c r="L101" s="3"/>
      <c r="M101" s="2"/>
      <c r="N101" s="3"/>
      <c r="O101" s="2"/>
      <c r="P101" s="3"/>
      <c r="Q101" s="2"/>
      <c r="R101" s="3"/>
      <c r="S101" s="2"/>
      <c r="T101" s="3"/>
      <c r="U101" s="2"/>
      <c r="V101" s="3"/>
      <c r="W101" s="2"/>
      <c r="X101" s="3"/>
      <c r="Y101" s="2"/>
      <c r="Z101" s="3"/>
      <c r="AA101" s="2"/>
      <c r="AB101" s="3"/>
      <c r="AC101" s="2"/>
      <c r="AD101" s="3"/>
      <c r="AE101" s="2"/>
    </row>
    <row r="102" spans="1:31" x14ac:dyDescent="0.25">
      <c r="A102" s="1"/>
      <c r="B102" s="1"/>
      <c r="C102" s="1" t="s">
        <v>112</v>
      </c>
      <c r="D102" s="1"/>
      <c r="E102" s="1"/>
      <c r="F102" s="1"/>
      <c r="G102" s="2"/>
      <c r="H102" s="3"/>
      <c r="I102" s="2"/>
      <c r="J102" s="3"/>
      <c r="K102" s="2"/>
      <c r="L102" s="3"/>
      <c r="M102" s="2"/>
      <c r="N102" s="3"/>
      <c r="O102" s="2"/>
      <c r="P102" s="3"/>
      <c r="Q102" s="2"/>
      <c r="R102" s="3"/>
      <c r="S102" s="2"/>
      <c r="T102" s="3"/>
      <c r="U102" s="2"/>
      <c r="V102" s="3"/>
      <c r="W102" s="2"/>
      <c r="X102" s="3"/>
      <c r="Y102" s="2"/>
      <c r="Z102" s="3"/>
      <c r="AA102" s="2"/>
      <c r="AB102" s="3"/>
      <c r="AC102" s="2"/>
      <c r="AD102" s="3"/>
      <c r="AE102" s="2"/>
    </row>
    <row r="103" spans="1:31" x14ac:dyDescent="0.25">
      <c r="A103" s="1"/>
      <c r="B103" s="1"/>
      <c r="C103" s="1"/>
      <c r="D103" s="1" t="s">
        <v>113</v>
      </c>
      <c r="E103" s="1"/>
      <c r="F103" s="1"/>
      <c r="G103" s="2">
        <v>0</v>
      </c>
      <c r="H103" s="3"/>
      <c r="I103" s="2">
        <v>0</v>
      </c>
      <c r="J103" s="3"/>
      <c r="K103" s="2">
        <v>0</v>
      </c>
      <c r="L103" s="3"/>
      <c r="M103" s="2">
        <v>800</v>
      </c>
      <c r="N103" s="3"/>
      <c r="O103" s="2">
        <v>-800</v>
      </c>
      <c r="P103" s="3"/>
      <c r="Q103" s="2">
        <v>9776.4699999999993</v>
      </c>
      <c r="R103" s="3"/>
      <c r="S103" s="2">
        <v>-9592</v>
      </c>
      <c r="T103" s="3"/>
      <c r="U103" s="2">
        <v>0</v>
      </c>
      <c r="V103" s="3"/>
      <c r="W103" s="2">
        <v>0</v>
      </c>
      <c r="X103" s="3"/>
      <c r="Y103" s="2">
        <v>0</v>
      </c>
      <c r="Z103" s="3"/>
      <c r="AA103" s="2">
        <v>0</v>
      </c>
      <c r="AB103" s="3"/>
      <c r="AC103" s="2">
        <v>-187.47</v>
      </c>
      <c r="AD103" s="3"/>
      <c r="AE103" s="2">
        <f>ROUND(SUM(G103:AC103),5)</f>
        <v>-3</v>
      </c>
    </row>
    <row r="104" spans="1:31" x14ac:dyDescent="0.25">
      <c r="A104" s="1"/>
      <c r="B104" s="1"/>
      <c r="C104" s="1"/>
      <c r="D104" s="1" t="s">
        <v>114</v>
      </c>
      <c r="E104" s="1"/>
      <c r="F104" s="1"/>
      <c r="G104" s="2">
        <v>0</v>
      </c>
      <c r="H104" s="3"/>
      <c r="I104" s="2">
        <v>0</v>
      </c>
      <c r="J104" s="3"/>
      <c r="K104" s="2">
        <v>5000</v>
      </c>
      <c r="L104" s="3"/>
      <c r="M104" s="2">
        <v>2195.4</v>
      </c>
      <c r="N104" s="3"/>
      <c r="O104" s="2">
        <v>0</v>
      </c>
      <c r="P104" s="3"/>
      <c r="Q104" s="2">
        <v>5000</v>
      </c>
      <c r="R104" s="3"/>
      <c r="S104" s="2">
        <v>0</v>
      </c>
      <c r="T104" s="3"/>
      <c r="U104" s="2">
        <v>0</v>
      </c>
      <c r="V104" s="3"/>
      <c r="W104" s="2">
        <v>0</v>
      </c>
      <c r="X104" s="3"/>
      <c r="Y104" s="2">
        <v>0</v>
      </c>
      <c r="Z104" s="3"/>
      <c r="AA104" s="2">
        <v>0</v>
      </c>
      <c r="AB104" s="3"/>
      <c r="AC104" s="2">
        <v>10000</v>
      </c>
      <c r="AD104" s="3"/>
      <c r="AE104" s="2">
        <f>ROUND(SUM(G104:AC104),5)</f>
        <v>22195.4</v>
      </c>
    </row>
    <row r="105" spans="1:31" ht="15.75" thickBot="1" x14ac:dyDescent="0.3">
      <c r="A105" s="1"/>
      <c r="B105" s="1"/>
      <c r="C105" s="1"/>
      <c r="D105" s="1" t="s">
        <v>115</v>
      </c>
      <c r="E105" s="1"/>
      <c r="F105" s="1"/>
      <c r="G105" s="5">
        <v>0</v>
      </c>
      <c r="H105" s="3"/>
      <c r="I105" s="5">
        <v>0</v>
      </c>
      <c r="J105" s="3"/>
      <c r="K105" s="5">
        <v>0</v>
      </c>
      <c r="L105" s="3"/>
      <c r="M105" s="5">
        <v>10787.13</v>
      </c>
      <c r="N105" s="3"/>
      <c r="O105" s="5">
        <v>0</v>
      </c>
      <c r="P105" s="3"/>
      <c r="Q105" s="5">
        <v>0</v>
      </c>
      <c r="R105" s="3"/>
      <c r="S105" s="5">
        <v>0</v>
      </c>
      <c r="T105" s="3"/>
      <c r="U105" s="5">
        <v>-2037.5</v>
      </c>
      <c r="V105" s="3"/>
      <c r="W105" s="5">
        <v>0</v>
      </c>
      <c r="X105" s="3"/>
      <c r="Y105" s="5">
        <v>-4000</v>
      </c>
      <c r="Z105" s="3"/>
      <c r="AA105" s="5">
        <v>0</v>
      </c>
      <c r="AB105" s="3"/>
      <c r="AC105" s="5">
        <v>0</v>
      </c>
      <c r="AD105" s="3"/>
      <c r="AE105" s="5">
        <f>ROUND(SUM(G105:AC105),5)</f>
        <v>4749.63</v>
      </c>
    </row>
    <row r="106" spans="1:31" ht="15.75" thickBot="1" x14ac:dyDescent="0.3">
      <c r="A106" s="1"/>
      <c r="B106" s="1"/>
      <c r="C106" s="1" t="s">
        <v>116</v>
      </c>
      <c r="D106" s="1"/>
      <c r="E106" s="1"/>
      <c r="F106" s="1"/>
      <c r="G106" s="7">
        <f>ROUND(SUM(G102:G105),5)</f>
        <v>0</v>
      </c>
      <c r="H106" s="3"/>
      <c r="I106" s="7">
        <f>ROUND(SUM(I102:I105),5)</f>
        <v>0</v>
      </c>
      <c r="J106" s="3"/>
      <c r="K106" s="7">
        <f>ROUND(SUM(K102:K105),5)</f>
        <v>5000</v>
      </c>
      <c r="L106" s="3"/>
      <c r="M106" s="7">
        <f>ROUND(SUM(M102:M105),5)</f>
        <v>13782.53</v>
      </c>
      <c r="N106" s="3"/>
      <c r="O106" s="7">
        <f>ROUND(SUM(O102:O105),5)</f>
        <v>-800</v>
      </c>
      <c r="P106" s="3"/>
      <c r="Q106" s="7">
        <f>ROUND(SUM(Q102:Q105),5)</f>
        <v>14776.47</v>
      </c>
      <c r="R106" s="3"/>
      <c r="S106" s="7">
        <f>ROUND(SUM(S102:S105),5)</f>
        <v>-9592</v>
      </c>
      <c r="T106" s="3"/>
      <c r="U106" s="7">
        <f>ROUND(SUM(U102:U105),5)</f>
        <v>-2037.5</v>
      </c>
      <c r="V106" s="3"/>
      <c r="W106" s="7">
        <f>ROUND(SUM(W102:W105),5)</f>
        <v>0</v>
      </c>
      <c r="X106" s="3"/>
      <c r="Y106" s="7">
        <f>ROUND(SUM(Y102:Y105),5)</f>
        <v>-4000</v>
      </c>
      <c r="Z106" s="3"/>
      <c r="AA106" s="7">
        <f>ROUND(SUM(AA102:AA105),5)</f>
        <v>0</v>
      </c>
      <c r="AB106" s="3"/>
      <c r="AC106" s="7">
        <f>ROUND(SUM(AC102:AC105),5)</f>
        <v>9812.5300000000007</v>
      </c>
      <c r="AD106" s="3"/>
      <c r="AE106" s="7">
        <f>ROUND(SUM(G106:AC106),5)</f>
        <v>26942.03</v>
      </c>
    </row>
    <row r="107" spans="1:31" ht="15.75" thickBot="1" x14ac:dyDescent="0.3">
      <c r="A107" s="1"/>
      <c r="B107" s="1" t="s">
        <v>117</v>
      </c>
      <c r="C107" s="1"/>
      <c r="D107" s="1"/>
      <c r="E107" s="1"/>
      <c r="F107" s="1"/>
      <c r="G107" s="7">
        <f>ROUND(G101-G106,5)</f>
        <v>0</v>
      </c>
      <c r="H107" s="3"/>
      <c r="I107" s="7">
        <f>ROUND(I101-I106,5)</f>
        <v>0</v>
      </c>
      <c r="J107" s="3"/>
      <c r="K107" s="7">
        <f>ROUND(K101-K106,5)</f>
        <v>-5000</v>
      </c>
      <c r="L107" s="3"/>
      <c r="M107" s="7">
        <f>ROUND(M101-M106,5)</f>
        <v>-13782.53</v>
      </c>
      <c r="N107" s="3"/>
      <c r="O107" s="7">
        <f>ROUND(O101-O106,5)</f>
        <v>800</v>
      </c>
      <c r="P107" s="3"/>
      <c r="Q107" s="7">
        <f>ROUND(Q101-Q106,5)</f>
        <v>-14776.47</v>
      </c>
      <c r="R107" s="3"/>
      <c r="S107" s="7">
        <f>ROUND(S101-S106,5)</f>
        <v>9592</v>
      </c>
      <c r="T107" s="3"/>
      <c r="U107" s="7">
        <f>ROUND(U101-U106,5)</f>
        <v>2037.5</v>
      </c>
      <c r="V107" s="3"/>
      <c r="W107" s="7">
        <f>ROUND(W101-W106,5)</f>
        <v>0</v>
      </c>
      <c r="X107" s="3"/>
      <c r="Y107" s="7">
        <f>ROUND(Y101-Y106,5)</f>
        <v>4000</v>
      </c>
      <c r="Z107" s="3"/>
      <c r="AA107" s="7">
        <f>ROUND(AA101-AA106,5)</f>
        <v>0</v>
      </c>
      <c r="AB107" s="3"/>
      <c r="AC107" s="7">
        <f>ROUND(AC101-AC106,5)</f>
        <v>-9812.5300000000007</v>
      </c>
      <c r="AD107" s="3"/>
      <c r="AE107" s="7">
        <f>ROUND(SUM(G107:AC107),5)</f>
        <v>-26942.03</v>
      </c>
    </row>
    <row r="108" spans="1:31" s="9" customFormat="1" ht="12" thickBot="1" x14ac:dyDescent="0.25">
      <c r="A108" s="1" t="s">
        <v>118</v>
      </c>
      <c r="B108" s="1"/>
      <c r="C108" s="1"/>
      <c r="D108" s="1"/>
      <c r="E108" s="1"/>
      <c r="F108" s="1"/>
      <c r="G108" s="8">
        <f>ROUND(G100+G107,5)</f>
        <v>-86297.26</v>
      </c>
      <c r="H108" s="1"/>
      <c r="I108" s="8">
        <f>ROUND(I100+I107,5)</f>
        <v>-77908.59</v>
      </c>
      <c r="J108" s="1"/>
      <c r="K108" s="8">
        <f>ROUND(K100+K107,5)</f>
        <v>-391772.1</v>
      </c>
      <c r="L108" s="1"/>
      <c r="M108" s="8">
        <f>ROUND(M100+M107,5)</f>
        <v>483000.63</v>
      </c>
      <c r="N108" s="1"/>
      <c r="O108" s="8">
        <f>ROUND(O100+O107,5)</f>
        <v>-195213.18</v>
      </c>
      <c r="P108" s="1"/>
      <c r="Q108" s="8">
        <f>ROUND(Q100+Q107,5)</f>
        <v>-527549.77</v>
      </c>
      <c r="R108" s="1"/>
      <c r="S108" s="8">
        <f>ROUND(S100+S107,5)</f>
        <v>666304.80000000005</v>
      </c>
      <c r="T108" s="1"/>
      <c r="U108" s="8">
        <f>ROUND(U100+U107,5)</f>
        <v>-50614.36</v>
      </c>
      <c r="V108" s="1"/>
      <c r="W108" s="8">
        <f>ROUND(W100+W107,5)</f>
        <v>-131441.32999999999</v>
      </c>
      <c r="X108" s="1"/>
      <c r="Y108" s="8">
        <f>ROUND(Y100+Y107,5)</f>
        <v>723972.17</v>
      </c>
      <c r="Z108" s="1"/>
      <c r="AA108" s="8">
        <f>ROUND(AA100+AA107,5)</f>
        <v>262259.64</v>
      </c>
      <c r="AB108" s="1"/>
      <c r="AC108" s="8">
        <f>ROUND(AC100+AC107,5)</f>
        <v>-669447.52</v>
      </c>
      <c r="AD108" s="1"/>
      <c r="AE108" s="8">
        <f>ROUND(SUM(G108:AC108),5)</f>
        <v>5293.13</v>
      </c>
    </row>
    <row r="109" spans="1:31" ht="15.75" thickTop="1" x14ac:dyDescent="0.25"/>
  </sheetData>
  <pageMargins left="0.7" right="0.7" top="0.75" bottom="0.75" header="0.1" footer="0.3"/>
  <pageSetup orientation="portrait" r:id="rId1"/>
  <headerFooter>
    <oddHeader>&amp;L&amp;"Arial,Bold"&amp;8 11:54 AM
&amp;"Arial,Bold"&amp;8 12/18/25
&amp;"Arial,Bold"&amp;8 Accrual Basis&amp;C&amp;"Arial,Bold"&amp;12 Seaside 3 LLC
&amp;"Arial,Bold"&amp;14 Profit &amp;&amp; Loss
&amp;"Arial,Bold"&amp;10 January through December 2024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Esposito</dc:creator>
  <cp:lastModifiedBy>Debbie Esposito</cp:lastModifiedBy>
  <dcterms:created xsi:type="dcterms:W3CDTF">2025-12-18T16:54:27Z</dcterms:created>
  <dcterms:modified xsi:type="dcterms:W3CDTF">2025-12-18T16:55:36Z</dcterms:modified>
</cp:coreProperties>
</file>